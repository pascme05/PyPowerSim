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q634145\PycharmProjects\PyPowerSim\para\Tra\"/>
    </mc:Choice>
  </mc:AlternateContent>
  <xr:revisionPtr revIDLastSave="0" documentId="13_ncr:1_{D6A4C49B-985C-4D31-B5FE-C2A39BD68513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readme" sheetId="1" r:id="rId1"/>
    <sheet name="electrical" sheetId="2" r:id="rId2"/>
    <sheet name="therm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2" l="1"/>
  <c r="J72" i="2"/>
  <c r="I72" i="2"/>
  <c r="H72" i="2"/>
  <c r="G72" i="2"/>
  <c r="F72" i="2"/>
  <c r="E72" i="2"/>
  <c r="D72" i="2"/>
  <c r="C72" i="2"/>
  <c r="B72" i="2"/>
  <c r="A82" i="2"/>
  <c r="A81" i="2"/>
  <c r="A80" i="2"/>
  <c r="A79" i="2"/>
  <c r="A78" i="2"/>
  <c r="A77" i="2"/>
  <c r="A76" i="2"/>
  <c r="A75" i="2"/>
  <c r="A74" i="2"/>
  <c r="A73" i="2"/>
  <c r="K52" i="2"/>
  <c r="J52" i="2"/>
  <c r="I52" i="2"/>
  <c r="H52" i="2"/>
  <c r="G52" i="2"/>
  <c r="F52" i="2"/>
  <c r="E52" i="2"/>
  <c r="D52" i="2"/>
  <c r="C52" i="2"/>
  <c r="B52" i="2"/>
  <c r="A62" i="2"/>
  <c r="A61" i="2"/>
  <c r="A60" i="2"/>
  <c r="A59" i="2"/>
  <c r="A58" i="2"/>
  <c r="A57" i="2"/>
  <c r="A56" i="2"/>
  <c r="A55" i="2"/>
  <c r="A54" i="2"/>
  <c r="A53" i="2"/>
  <c r="C32" i="2"/>
  <c r="D32" i="2"/>
  <c r="E32" i="2"/>
  <c r="F32" i="2"/>
  <c r="G32" i="2"/>
  <c r="H32" i="2"/>
  <c r="I32" i="2"/>
  <c r="J32" i="2"/>
  <c r="K32" i="2"/>
  <c r="B32" i="2"/>
  <c r="A42" i="2"/>
  <c r="A41" i="2"/>
  <c r="A40" i="2"/>
  <c r="A39" i="2"/>
  <c r="A38" i="2"/>
  <c r="A37" i="2"/>
  <c r="A36" i="2"/>
  <c r="A35" i="2"/>
  <c r="A34" i="2"/>
  <c r="A33" i="2"/>
  <c r="E128" i="3" l="1"/>
  <c r="F128" i="3"/>
  <c r="G128" i="3"/>
  <c r="H128" i="3"/>
  <c r="I128" i="3"/>
  <c r="J128" i="3"/>
  <c r="K128" i="3"/>
  <c r="L128" i="3"/>
  <c r="M128" i="3"/>
  <c r="N128" i="3"/>
  <c r="O128" i="3"/>
  <c r="E129" i="3"/>
  <c r="F129" i="3"/>
  <c r="G129" i="3"/>
  <c r="H129" i="3"/>
  <c r="I129" i="3"/>
  <c r="J129" i="3"/>
  <c r="K129" i="3"/>
  <c r="L129" i="3"/>
  <c r="M129" i="3"/>
  <c r="N129" i="3"/>
  <c r="O129" i="3"/>
  <c r="E130" i="3"/>
  <c r="F130" i="3"/>
  <c r="G130" i="3"/>
  <c r="H130" i="3"/>
  <c r="I130" i="3"/>
  <c r="J130" i="3"/>
  <c r="K130" i="3"/>
  <c r="L130" i="3"/>
  <c r="M130" i="3"/>
  <c r="N130" i="3"/>
  <c r="O130" i="3"/>
  <c r="E131" i="3"/>
  <c r="F131" i="3"/>
  <c r="G131" i="3"/>
  <c r="H131" i="3"/>
  <c r="I131" i="3"/>
  <c r="J131" i="3"/>
  <c r="K131" i="3"/>
  <c r="L131" i="3"/>
  <c r="M131" i="3"/>
  <c r="N131" i="3"/>
  <c r="O131" i="3"/>
  <c r="E132" i="3"/>
  <c r="F132" i="3"/>
  <c r="G132" i="3"/>
  <c r="H132" i="3"/>
  <c r="I132" i="3"/>
  <c r="J132" i="3"/>
  <c r="K132" i="3"/>
  <c r="L132" i="3"/>
  <c r="M132" i="3"/>
  <c r="N132" i="3"/>
  <c r="O132" i="3"/>
  <c r="E133" i="3"/>
  <c r="F133" i="3"/>
  <c r="G133" i="3"/>
  <c r="H133" i="3"/>
  <c r="I133" i="3"/>
  <c r="J133" i="3"/>
  <c r="K133" i="3"/>
  <c r="L133" i="3"/>
  <c r="M133" i="3"/>
  <c r="N133" i="3"/>
  <c r="O133" i="3"/>
  <c r="E134" i="3"/>
  <c r="F134" i="3"/>
  <c r="G134" i="3"/>
  <c r="H134" i="3"/>
  <c r="I134" i="3"/>
  <c r="J134" i="3"/>
  <c r="K134" i="3"/>
  <c r="L134" i="3"/>
  <c r="M134" i="3"/>
  <c r="N134" i="3"/>
  <c r="O134" i="3"/>
  <c r="E135" i="3"/>
  <c r="F135" i="3"/>
  <c r="G135" i="3"/>
  <c r="H135" i="3"/>
  <c r="I135" i="3"/>
  <c r="J135" i="3"/>
  <c r="K135" i="3"/>
  <c r="L135" i="3"/>
  <c r="M135" i="3"/>
  <c r="N135" i="3"/>
  <c r="O135" i="3"/>
  <c r="E136" i="3"/>
  <c r="F136" i="3"/>
  <c r="G136" i="3"/>
  <c r="H136" i="3"/>
  <c r="I136" i="3"/>
  <c r="J136" i="3"/>
  <c r="K136" i="3"/>
  <c r="L136" i="3"/>
  <c r="M136" i="3"/>
  <c r="N136" i="3"/>
  <c r="O136" i="3"/>
  <c r="E137" i="3"/>
  <c r="F137" i="3"/>
  <c r="G137" i="3"/>
  <c r="H137" i="3"/>
  <c r="I137" i="3"/>
  <c r="J137" i="3"/>
  <c r="K137" i="3"/>
  <c r="L137" i="3"/>
  <c r="M137" i="3"/>
  <c r="N137" i="3"/>
  <c r="O137" i="3"/>
  <c r="E138" i="3"/>
  <c r="F138" i="3"/>
  <c r="G138" i="3"/>
  <c r="H138" i="3"/>
  <c r="I138" i="3"/>
  <c r="J138" i="3"/>
  <c r="K138" i="3"/>
  <c r="L138" i="3"/>
  <c r="M138" i="3"/>
  <c r="N138" i="3"/>
  <c r="O138" i="3"/>
  <c r="E139" i="3"/>
  <c r="F139" i="3"/>
  <c r="G139" i="3"/>
  <c r="H139" i="3"/>
  <c r="I139" i="3"/>
  <c r="J139" i="3"/>
  <c r="K139" i="3"/>
  <c r="L139" i="3"/>
  <c r="M139" i="3"/>
  <c r="N139" i="3"/>
  <c r="O139" i="3"/>
  <c r="E140" i="3"/>
  <c r="F140" i="3"/>
  <c r="G140" i="3"/>
  <c r="H140" i="3"/>
  <c r="I140" i="3"/>
  <c r="J140" i="3"/>
  <c r="K140" i="3"/>
  <c r="L140" i="3"/>
  <c r="M140" i="3"/>
  <c r="N140" i="3"/>
  <c r="O140" i="3"/>
  <c r="E141" i="3"/>
  <c r="F141" i="3"/>
  <c r="G141" i="3"/>
  <c r="H141" i="3"/>
  <c r="I141" i="3"/>
  <c r="J141" i="3"/>
  <c r="K141" i="3"/>
  <c r="L141" i="3"/>
  <c r="M141" i="3"/>
  <c r="N141" i="3"/>
  <c r="O141" i="3"/>
  <c r="E142" i="3"/>
  <c r="F142" i="3"/>
  <c r="G142" i="3"/>
  <c r="H142" i="3"/>
  <c r="I142" i="3"/>
  <c r="J142" i="3"/>
  <c r="K142" i="3"/>
  <c r="L142" i="3"/>
  <c r="M142" i="3"/>
  <c r="N142" i="3"/>
  <c r="O142" i="3"/>
  <c r="E143" i="3"/>
  <c r="F143" i="3"/>
  <c r="G143" i="3"/>
  <c r="H143" i="3"/>
  <c r="I143" i="3"/>
  <c r="J143" i="3"/>
  <c r="K143" i="3"/>
  <c r="L143" i="3"/>
  <c r="M143" i="3"/>
  <c r="N143" i="3"/>
  <c r="O143" i="3"/>
  <c r="E144" i="3"/>
  <c r="F144" i="3"/>
  <c r="G144" i="3"/>
  <c r="H144" i="3"/>
  <c r="I144" i="3"/>
  <c r="J144" i="3"/>
  <c r="K144" i="3"/>
  <c r="L144" i="3"/>
  <c r="M144" i="3"/>
  <c r="N144" i="3"/>
  <c r="O144" i="3"/>
  <c r="E145" i="3"/>
  <c r="F145" i="3"/>
  <c r="G145" i="3"/>
  <c r="H145" i="3"/>
  <c r="I145" i="3"/>
  <c r="J145" i="3"/>
  <c r="K145" i="3"/>
  <c r="L145" i="3"/>
  <c r="M145" i="3"/>
  <c r="N145" i="3"/>
  <c r="O145" i="3"/>
  <c r="E146" i="3"/>
  <c r="F146" i="3"/>
  <c r="G146" i="3"/>
  <c r="H146" i="3"/>
  <c r="I146" i="3"/>
  <c r="J146" i="3"/>
  <c r="K146" i="3"/>
  <c r="L146" i="3"/>
  <c r="M146" i="3"/>
  <c r="N146" i="3"/>
  <c r="O146" i="3"/>
  <c r="E147" i="3"/>
  <c r="F147" i="3"/>
  <c r="G147" i="3"/>
  <c r="H147" i="3"/>
  <c r="I147" i="3"/>
  <c r="J147" i="3"/>
  <c r="K147" i="3"/>
  <c r="L147" i="3"/>
  <c r="M147" i="3"/>
  <c r="N147" i="3"/>
  <c r="O147" i="3"/>
  <c r="E148" i="3"/>
  <c r="F148" i="3"/>
  <c r="G148" i="3"/>
  <c r="H148" i="3"/>
  <c r="I148" i="3"/>
  <c r="J148" i="3"/>
  <c r="K148" i="3"/>
  <c r="L148" i="3"/>
  <c r="M148" i="3"/>
  <c r="N148" i="3"/>
  <c r="O148" i="3"/>
  <c r="F127" i="3"/>
  <c r="G127" i="3"/>
  <c r="H127" i="3"/>
  <c r="I127" i="3"/>
  <c r="J127" i="3"/>
  <c r="K127" i="3"/>
  <c r="L127" i="3"/>
  <c r="M127" i="3"/>
  <c r="N127" i="3"/>
  <c r="O127" i="3"/>
  <c r="E127" i="3"/>
  <c r="O121" i="3"/>
  <c r="N121" i="3"/>
  <c r="M121" i="3"/>
  <c r="L121" i="3"/>
  <c r="K121" i="3"/>
  <c r="J121" i="3"/>
  <c r="I121" i="3"/>
  <c r="H121" i="3"/>
  <c r="G121" i="3"/>
  <c r="F121" i="3"/>
  <c r="E121" i="3"/>
  <c r="O120" i="3"/>
  <c r="N120" i="3"/>
  <c r="M120" i="3"/>
  <c r="L120" i="3"/>
  <c r="K120" i="3"/>
  <c r="J120" i="3"/>
  <c r="I120" i="3"/>
  <c r="H120" i="3"/>
  <c r="G120" i="3"/>
  <c r="F120" i="3"/>
  <c r="E120" i="3"/>
  <c r="O119" i="3"/>
  <c r="N119" i="3"/>
  <c r="M119" i="3"/>
  <c r="L119" i="3"/>
  <c r="K119" i="3"/>
  <c r="J119" i="3"/>
  <c r="I119" i="3"/>
  <c r="H119" i="3"/>
  <c r="G119" i="3"/>
  <c r="F119" i="3"/>
  <c r="E119" i="3"/>
  <c r="O118" i="3"/>
  <c r="N118" i="3"/>
  <c r="M118" i="3"/>
  <c r="L118" i="3"/>
  <c r="K118" i="3"/>
  <c r="J118" i="3"/>
  <c r="I118" i="3"/>
  <c r="H118" i="3"/>
  <c r="G118" i="3"/>
  <c r="F118" i="3"/>
  <c r="E118" i="3"/>
  <c r="O117" i="3"/>
  <c r="N117" i="3"/>
  <c r="M117" i="3"/>
  <c r="L117" i="3"/>
  <c r="K117" i="3"/>
  <c r="J117" i="3"/>
  <c r="I117" i="3"/>
  <c r="H117" i="3"/>
  <c r="G117" i="3"/>
  <c r="F117" i="3"/>
  <c r="E117" i="3"/>
  <c r="O116" i="3"/>
  <c r="N116" i="3"/>
  <c r="M116" i="3"/>
  <c r="L116" i="3"/>
  <c r="K116" i="3"/>
  <c r="J116" i="3"/>
  <c r="I116" i="3"/>
  <c r="H116" i="3"/>
  <c r="G116" i="3"/>
  <c r="F116" i="3"/>
  <c r="E116" i="3"/>
  <c r="O115" i="3"/>
  <c r="N115" i="3"/>
  <c r="M115" i="3"/>
  <c r="L115" i="3"/>
  <c r="K115" i="3"/>
  <c r="J115" i="3"/>
  <c r="I115" i="3"/>
  <c r="H115" i="3"/>
  <c r="G115" i="3"/>
  <c r="F115" i="3"/>
  <c r="E115" i="3"/>
  <c r="O114" i="3"/>
  <c r="N114" i="3"/>
  <c r="M114" i="3"/>
  <c r="L114" i="3"/>
  <c r="K114" i="3"/>
  <c r="J114" i="3"/>
  <c r="I114" i="3"/>
  <c r="H114" i="3"/>
  <c r="G114" i="3"/>
  <c r="F114" i="3"/>
  <c r="E114" i="3"/>
  <c r="O113" i="3"/>
  <c r="N113" i="3"/>
  <c r="M113" i="3"/>
  <c r="L113" i="3"/>
  <c r="K113" i="3"/>
  <c r="J113" i="3"/>
  <c r="I113" i="3"/>
  <c r="H113" i="3"/>
  <c r="G113" i="3"/>
  <c r="F113" i="3"/>
  <c r="E113" i="3"/>
  <c r="O112" i="3"/>
  <c r="N112" i="3"/>
  <c r="M112" i="3"/>
  <c r="L112" i="3"/>
  <c r="K112" i="3"/>
  <c r="J112" i="3"/>
  <c r="I112" i="3"/>
  <c r="H112" i="3"/>
  <c r="G112" i="3"/>
  <c r="F112" i="3"/>
  <c r="E112" i="3"/>
  <c r="O111" i="3"/>
  <c r="N111" i="3"/>
  <c r="M111" i="3"/>
  <c r="L111" i="3"/>
  <c r="K111" i="3"/>
  <c r="J111" i="3"/>
  <c r="I111" i="3"/>
  <c r="H111" i="3"/>
  <c r="G111" i="3"/>
  <c r="F111" i="3"/>
  <c r="E111" i="3"/>
  <c r="O110" i="3"/>
  <c r="N110" i="3"/>
  <c r="M110" i="3"/>
  <c r="L110" i="3"/>
  <c r="K110" i="3"/>
  <c r="J110" i="3"/>
  <c r="I110" i="3"/>
  <c r="H110" i="3"/>
  <c r="G110" i="3"/>
  <c r="F110" i="3"/>
  <c r="E110" i="3"/>
  <c r="O109" i="3"/>
  <c r="N109" i="3"/>
  <c r="M109" i="3"/>
  <c r="L109" i="3"/>
  <c r="K109" i="3"/>
  <c r="J109" i="3"/>
  <c r="I109" i="3"/>
  <c r="H109" i="3"/>
  <c r="G109" i="3"/>
  <c r="F109" i="3"/>
  <c r="E109" i="3"/>
  <c r="O108" i="3"/>
  <c r="N108" i="3"/>
  <c r="M108" i="3"/>
  <c r="L108" i="3"/>
  <c r="K108" i="3"/>
  <c r="J108" i="3"/>
  <c r="I108" i="3"/>
  <c r="H108" i="3"/>
  <c r="G108" i="3"/>
  <c r="F108" i="3"/>
  <c r="E108" i="3"/>
  <c r="O107" i="3"/>
  <c r="N107" i="3"/>
  <c r="M107" i="3"/>
  <c r="L107" i="3"/>
  <c r="K107" i="3"/>
  <c r="J107" i="3"/>
  <c r="I107" i="3"/>
  <c r="H107" i="3"/>
  <c r="G107" i="3"/>
  <c r="F107" i="3"/>
  <c r="E107" i="3"/>
  <c r="O106" i="3"/>
  <c r="N106" i="3"/>
  <c r="M106" i="3"/>
  <c r="L106" i="3"/>
  <c r="K106" i="3"/>
  <c r="J106" i="3"/>
  <c r="I106" i="3"/>
  <c r="H106" i="3"/>
  <c r="G106" i="3"/>
  <c r="F106" i="3"/>
  <c r="E106" i="3"/>
  <c r="O105" i="3"/>
  <c r="N105" i="3"/>
  <c r="M105" i="3"/>
  <c r="L105" i="3"/>
  <c r="K105" i="3"/>
  <c r="J105" i="3"/>
  <c r="I105" i="3"/>
  <c r="H105" i="3"/>
  <c r="G105" i="3"/>
  <c r="F105" i="3"/>
  <c r="E105" i="3"/>
  <c r="O104" i="3"/>
  <c r="N104" i="3"/>
  <c r="M104" i="3"/>
  <c r="L104" i="3"/>
  <c r="K104" i="3"/>
  <c r="J104" i="3"/>
  <c r="I104" i="3"/>
  <c r="H104" i="3"/>
  <c r="G104" i="3"/>
  <c r="F104" i="3"/>
  <c r="E104" i="3"/>
  <c r="O103" i="3"/>
  <c r="N103" i="3"/>
  <c r="M103" i="3"/>
  <c r="L103" i="3"/>
  <c r="K103" i="3"/>
  <c r="J103" i="3"/>
  <c r="I103" i="3"/>
  <c r="H103" i="3"/>
  <c r="G103" i="3"/>
  <c r="F103" i="3"/>
  <c r="E103" i="3"/>
  <c r="O102" i="3"/>
  <c r="N102" i="3"/>
  <c r="M102" i="3"/>
  <c r="L102" i="3"/>
  <c r="K102" i="3"/>
  <c r="J102" i="3"/>
  <c r="I102" i="3"/>
  <c r="H102" i="3"/>
  <c r="G102" i="3"/>
  <c r="F102" i="3"/>
  <c r="E102" i="3"/>
  <c r="O101" i="3"/>
  <c r="N101" i="3"/>
  <c r="M101" i="3"/>
  <c r="L101" i="3"/>
  <c r="K101" i="3"/>
  <c r="J101" i="3"/>
  <c r="I101" i="3"/>
  <c r="H101" i="3"/>
  <c r="G101" i="3"/>
  <c r="F101" i="3"/>
  <c r="E101" i="3"/>
  <c r="O100" i="3"/>
  <c r="N100" i="3"/>
  <c r="M100" i="3"/>
  <c r="L100" i="3"/>
  <c r="K100" i="3"/>
  <c r="J100" i="3"/>
  <c r="I100" i="3"/>
  <c r="H100" i="3"/>
  <c r="G100" i="3"/>
  <c r="F100" i="3"/>
  <c r="E100" i="3"/>
  <c r="B92" i="2"/>
  <c r="C92" i="2"/>
  <c r="D92" i="2"/>
  <c r="E92" i="2"/>
  <c r="F92" i="2"/>
  <c r="G92" i="2"/>
  <c r="H92" i="2"/>
  <c r="I92" i="2"/>
  <c r="J92" i="2"/>
  <c r="K92" i="2"/>
  <c r="A93" i="2"/>
  <c r="A94" i="2"/>
  <c r="A95" i="2"/>
  <c r="A96" i="2"/>
  <c r="A97" i="2"/>
  <c r="A98" i="2"/>
  <c r="A99" i="2"/>
  <c r="A100" i="2"/>
  <c r="A101" i="2"/>
  <c r="A102" i="2"/>
  <c r="P146" i="3" l="1"/>
  <c r="P127" i="3"/>
  <c r="P140" i="3"/>
  <c r="P130" i="3"/>
  <c r="P114" i="3"/>
  <c r="P119" i="3"/>
  <c r="P135" i="3"/>
  <c r="P148" i="3"/>
  <c r="P132" i="3"/>
  <c r="P120" i="3"/>
  <c r="P110" i="3"/>
  <c r="P141" i="3"/>
  <c r="P103" i="3"/>
  <c r="P106" i="3"/>
  <c r="P109" i="3"/>
  <c r="P145" i="3"/>
  <c r="P129" i="3"/>
  <c r="P100" i="3"/>
  <c r="P142" i="3"/>
  <c r="P117" i="3"/>
  <c r="P112" i="3"/>
  <c r="P115" i="3"/>
  <c r="P139" i="3"/>
  <c r="P104" i="3"/>
  <c r="P113" i="3"/>
  <c r="P102" i="3"/>
  <c r="P118" i="3"/>
  <c r="P136" i="3"/>
  <c r="P101" i="3"/>
  <c r="P137" i="3"/>
  <c r="P105" i="3"/>
  <c r="P121" i="3"/>
  <c r="P133" i="3"/>
  <c r="P108" i="3"/>
  <c r="P111" i="3"/>
  <c r="P143" i="3"/>
  <c r="P134" i="3"/>
  <c r="P107" i="3"/>
  <c r="P147" i="3"/>
  <c r="P131" i="3"/>
  <c r="P144" i="3"/>
  <c r="P128" i="3"/>
  <c r="P116" i="3"/>
  <c r="P138" i="3"/>
</calcChain>
</file>

<file path=xl/sharedStrings.xml><?xml version="1.0" encoding="utf-8"?>
<sst xmlns="http://schemas.openxmlformats.org/spreadsheetml/2006/main" count="214" uniqueCount="138">
  <si>
    <t>Parameter</t>
  </si>
  <si>
    <t>Category</t>
  </si>
  <si>
    <t>Symbol</t>
  </si>
  <si>
    <t>Typical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</si>
  <si>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</si>
  <si>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</si>
  <si>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</si>
  <si>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</si>
  <si>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</si>
  <si>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</si>
  <si>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</si>
  <si>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</si>
  <si>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</si>
  <si>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</si>
  <si>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Unit</t>
  </si>
  <si>
    <t>General</t>
  </si>
  <si>
    <t>Ohm</t>
  </si>
  <si>
    <t>1D-Foster</t>
  </si>
  <si>
    <t>K/W</t>
  </si>
  <si>
    <t>Ws/K</t>
  </si>
  <si>
    <t>Tj (°C)</t>
  </si>
  <si>
    <t>f (Hz)</t>
  </si>
  <si>
    <t>Type</t>
  </si>
  <si>
    <t>Thermal resistance (CA)</t>
  </si>
  <si>
    <t>Rth_CA</t>
  </si>
  <si>
    <t>Thermal capacitance (CA)</t>
  </si>
  <si>
    <t>Cth_CA</t>
  </si>
  <si>
    <t>time (sec)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</si>
  <si>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</si>
  <si>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</si>
  <si>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</si>
  <si>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</si>
  <si>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</si>
  <si>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</si>
  <si>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</si>
  <si>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</si>
  <si>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</si>
  <si>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</si>
  <si>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Z_th_0</t>
  </si>
  <si>
    <t>Z_th</t>
  </si>
  <si>
    <t>Description</t>
  </si>
  <si>
    <t>Author</t>
  </si>
  <si>
    <t>Date</t>
  </si>
  <si>
    <t>Datasheet</t>
  </si>
  <si>
    <t>Value</t>
  </si>
  <si>
    <t>Model</t>
  </si>
  <si>
    <t>Max Mueller</t>
  </si>
  <si>
    <t>Transformer</t>
  </si>
  <si>
    <t>n1</t>
  </si>
  <si>
    <t>n2</t>
  </si>
  <si>
    <t>r1</t>
  </si>
  <si>
    <t>r2</t>
  </si>
  <si>
    <t>Rc1</t>
  </si>
  <si>
    <t>Rc2</t>
  </si>
  <si>
    <t>Ll1</t>
  </si>
  <si>
    <t>Ll2</t>
  </si>
  <si>
    <t>LM</t>
  </si>
  <si>
    <t>-</t>
  </si>
  <si>
    <t>H</t>
  </si>
  <si>
    <t>Number of transformer windings on the primary side</t>
  </si>
  <si>
    <t>Number of transformer windings on the secondary side</t>
  </si>
  <si>
    <t>Winding resistance on primary side</t>
  </si>
  <si>
    <t>Winding resistance on secondary side</t>
  </si>
  <si>
    <t>Parallel resistance to model core losses on primary side</t>
  </si>
  <si>
    <t>Parallel resistance to model core losses on secondary side</t>
  </si>
  <si>
    <t>Leakage inductance on primary side</t>
  </si>
  <si>
    <t>Leakage inductance on secondary side</t>
  </si>
  <si>
    <t>Magetizing inductance (primary reflected)</t>
  </si>
  <si>
    <t>Number of windings (primary)</t>
  </si>
  <si>
    <t>Number of windings (secondary)</t>
  </si>
  <si>
    <t>Winding resistance (secondary)</t>
  </si>
  <si>
    <t>Core loss resistance (primary)</t>
  </si>
  <si>
    <t>Core loss resistance (secondary)</t>
  </si>
  <si>
    <t>Leakage inductance (primary)</t>
  </si>
  <si>
    <t>Leakage inductance (secondary)</t>
  </si>
  <si>
    <t>Magnetizing inductance</t>
  </si>
  <si>
    <t>Effective flux area of core</t>
  </si>
  <si>
    <t>Ae</t>
  </si>
  <si>
    <t>Effective flux volume of core</t>
  </si>
  <si>
    <t>Effective flux area of the transformer core</t>
  </si>
  <si>
    <t>Effective flux volume of the transformer core</t>
  </si>
  <si>
    <t>Ve</t>
  </si>
  <si>
    <t>Steinmetz Parameter alpha</t>
  </si>
  <si>
    <t>Temperature core</t>
  </si>
  <si>
    <t>Temperature of the core</t>
  </si>
  <si>
    <t>T_c</t>
  </si>
  <si>
    <t>Frequency</t>
  </si>
  <si>
    <t>f</t>
  </si>
  <si>
    <t>Steinmetz Parameter beta</t>
  </si>
  <si>
    <t>Losses Pvsin in kW/m3 for calculation of Steinmetz k</t>
  </si>
  <si>
    <t>m2</t>
  </si>
  <si>
    <t>m3</t>
  </si>
  <si>
    <t>°C</t>
  </si>
  <si>
    <t>Hz</t>
  </si>
  <si>
    <t>Steinmetz alpha</t>
  </si>
  <si>
    <t>Steinmetz beta</t>
  </si>
  <si>
    <t>Steinmetz Pvsin</t>
  </si>
  <si>
    <t>Losses</t>
  </si>
  <si>
    <t>alpha</t>
  </si>
  <si>
    <t>beta</t>
  </si>
  <si>
    <t>Pvsin</t>
  </si>
  <si>
    <t>w_c</t>
  </si>
  <si>
    <t>h_c</t>
  </si>
  <si>
    <t>Conducting width</t>
  </si>
  <si>
    <t>Width of conductor winding for rectangular conductor</t>
  </si>
  <si>
    <t>Conducting height</t>
  </si>
  <si>
    <t>Height of conductor winding for rectangular conductor</t>
  </si>
  <si>
    <t>Type of transformer winding (RND = round, REC = rectangular)</t>
  </si>
  <si>
    <t>type_c</t>
  </si>
  <si>
    <t>Type of conductor</t>
  </si>
  <si>
    <t>m</t>
  </si>
  <si>
    <t>Frequency vector for parameter tables</t>
  </si>
  <si>
    <t>Steinmetz parameter</t>
  </si>
  <si>
    <t>Network of resistive foster coefficients between transformer core and coolant</t>
  </si>
  <si>
    <t>Network of capacitive foster coefficients between transformer core and coolant</t>
  </si>
  <si>
    <r>
      <t xml:space="preserve">Network of resistive foster coefficients between transformer </t>
    </r>
    <r>
      <rPr>
        <b/>
        <sz val="11"/>
        <color theme="1"/>
        <rFont val="Calibri"/>
        <family val="2"/>
        <scheme val="minor"/>
      </rPr>
      <t>primary windings</t>
    </r>
    <r>
      <rPr>
        <sz val="11"/>
        <color theme="1"/>
        <rFont val="Calibri"/>
        <family val="2"/>
        <scheme val="minor"/>
      </rPr>
      <t xml:space="preserve"> and coolant</t>
    </r>
  </si>
  <si>
    <r>
      <t xml:space="preserve">Network of capacitive foster coefficients between transformer </t>
    </r>
    <r>
      <rPr>
        <b/>
        <sz val="11"/>
        <color theme="1"/>
        <rFont val="Calibri"/>
        <family val="2"/>
        <scheme val="minor"/>
      </rPr>
      <t>primary windings</t>
    </r>
    <r>
      <rPr>
        <sz val="11"/>
        <color theme="1"/>
        <rFont val="Calibri"/>
        <family val="2"/>
        <scheme val="minor"/>
      </rPr>
      <t xml:space="preserve"> and coolant</t>
    </r>
  </si>
  <si>
    <r>
      <t xml:space="preserve">Network of resistive foster coefficients between transformer </t>
    </r>
    <r>
      <rPr>
        <b/>
        <sz val="11"/>
        <color theme="1"/>
        <rFont val="Calibri"/>
        <family val="2"/>
        <scheme val="minor"/>
      </rPr>
      <t>secondary windings</t>
    </r>
    <r>
      <rPr>
        <sz val="11"/>
        <color theme="1"/>
        <rFont val="Calibri"/>
        <family val="2"/>
        <scheme val="minor"/>
      </rPr>
      <t xml:space="preserve"> and coolant</t>
    </r>
  </si>
  <si>
    <r>
      <t xml:space="preserve">Network of capacitive foster coefficients between transformer </t>
    </r>
    <r>
      <rPr>
        <b/>
        <sz val="11"/>
        <color theme="1"/>
        <rFont val="Calibri"/>
        <family val="2"/>
        <scheme val="minor"/>
      </rPr>
      <t>secondary windings</t>
    </r>
    <r>
      <rPr>
        <sz val="11"/>
        <color theme="1"/>
        <rFont val="Calibri"/>
        <family val="2"/>
        <scheme val="minor"/>
      </rPr>
      <t xml:space="preserve"> and coolant</t>
    </r>
  </si>
  <si>
    <t>Rth_PA</t>
  </si>
  <si>
    <t>Cth_PA</t>
  </si>
  <si>
    <t>Rth_SA</t>
  </si>
  <si>
    <t>Cth_SA</t>
  </si>
  <si>
    <t>Thermal resistance (PA)</t>
  </si>
  <si>
    <t>Thermal capacitance (PA)</t>
  </si>
  <si>
    <t>Thermal resistance (SA)</t>
  </si>
  <si>
    <t>Thermal capacitance (SA)</t>
  </si>
  <si>
    <t>Conducting diameter</t>
  </si>
  <si>
    <t>d_c</t>
  </si>
  <si>
    <t>Number of conductors</t>
  </si>
  <si>
    <t>Number of conductors or strands (e.g. Litz wire)</t>
  </si>
  <si>
    <t>N_c</t>
  </si>
  <si>
    <t>Outer diameter</t>
  </si>
  <si>
    <t>Diameter of the conducting wire (ind. Strand) for round conductor</t>
  </si>
  <si>
    <t>Outer diameter of wire</t>
  </si>
  <si>
    <t>d_c_o</t>
  </si>
  <si>
    <t>REC</t>
  </si>
  <si>
    <t>Winding resistance (primary)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</si>
</sst>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7" xfId="0" applyNumberFormat="1" applyFont="1" applyBorder="1"/>
    <xf numFmtId="0" fontId="0" fillId="0" borderId="9" xfId="0" applyBorder="1"/>
    <xf numFmtId="0" fontId="0" fillId="0" borderId="10" xfId="0" applyBorder="1"/>
    <xf numFmtId="11" fontId="1" fillId="0" borderId="10" xfId="0" applyNumberFormat="1" applyFont="1" applyBorder="1"/>
    <xf numFmtId="1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1" fontId="0" fillId="0" borderId="14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5" xfId="0" applyBorder="1"/>
    <xf numFmtId="0" fontId="1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1" fillId="0" borderId="24" xfId="0" applyNumberFormat="1" applyFont="1" applyBorder="1"/>
    <xf numFmtId="2" fontId="1" fillId="0" borderId="25" xfId="0" applyNumberFormat="1" applyFont="1" applyBorder="1"/>
    <xf numFmtId="2" fontId="1" fillId="0" borderId="19" xfId="0" applyNumberFormat="1" applyFont="1" applyBorder="1"/>
    <xf numFmtId="11" fontId="0" fillId="0" borderId="9" xfId="0" applyNumberFormat="1" applyBorder="1"/>
    <xf numFmtId="2" fontId="1" fillId="0" borderId="26" xfId="0" applyNumberFormat="1" applyFont="1" applyBorder="1"/>
    <xf numFmtId="11" fontId="0" fillId="0" borderId="15" xfId="0" applyNumberFormat="1" applyBorder="1"/>
    <xf numFmtId="0" fontId="1" fillId="0" borderId="0" xfId="0" applyFont="1"/>
    <xf numFmtId="14" fontId="0" fillId="0" borderId="0" xfId="0" applyNumberFormat="1"/>
    <xf numFmtId="0" fontId="3" fillId="0" borderId="0" xfId="1"/>
    <xf numFmtId="0" fontId="1" fillId="0" borderId="24" xfId="0" applyFont="1" applyBorder="1"/>
    <xf numFmtId="0" fontId="1" fillId="0" borderId="6" xfId="0" applyFont="1" applyBorder="1"/>
    <xf numFmtId="0" fontId="0" fillId="0" borderId="0" xfId="0" applyBorder="1"/>
    <xf numFmtId="11" fontId="0" fillId="0" borderId="0" xfId="0" applyNumberFormat="1" applyBorder="1"/>
    <xf numFmtId="11" fontId="1" fillId="0" borderId="0" xfId="0" applyNumberFormat="1" applyFont="1" applyBorder="1"/>
    <xf numFmtId="0" fontId="1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1" fontId="0" fillId="0" borderId="0" xfId="0" applyNumberFormat="1" applyFill="1" applyBorder="1"/>
    <xf numFmtId="11" fontId="1" fillId="0" borderId="0" xfId="0" applyNumberFormat="1" applyFont="1" applyFill="1" applyBorder="1"/>
    <xf numFmtId="0" fontId="0" fillId="0" borderId="28" xfId="0" applyFill="1" applyBorder="1" applyAlignment="1">
      <alignment horizontal="center" vertical="center"/>
    </xf>
    <xf numFmtId="11" fontId="0" fillId="0" borderId="8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2" fontId="1" fillId="0" borderId="30" xfId="0" applyNumberFormat="1" applyFont="1" applyBorder="1"/>
    <xf numFmtId="11" fontId="0" fillId="0" borderId="31" xfId="0" applyNumberFormat="1" applyBorder="1"/>
    <xf numFmtId="11" fontId="0" fillId="0" borderId="0" xfId="0" applyNumberFormat="1" applyFont="1"/>
    <xf numFmtId="0" fontId="0" fillId="0" borderId="28" xfId="0" applyBorder="1" applyAlignment="1">
      <alignment horizontal="center"/>
    </xf>
    <xf numFmtId="0" fontId="1" fillId="0" borderId="6" xfId="0" applyFont="1" applyFill="1" applyBorder="1"/>
    <xf numFmtId="0" fontId="0" fillId="0" borderId="28" xfId="0" applyBorder="1" applyAlignment="1">
      <alignment horizontal="center" vertical="center"/>
    </xf>
    <xf numFmtId="11" fontId="0" fillId="0" borderId="8" xfId="0" applyNumberForma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Steinmetz Parameter</a:t>
            </a:r>
            <a:r>
              <a:rPr lang="de-DE" baseline="0"/>
              <a:t> alpha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electrical!$B$32</c:f>
              <c:strCache>
                <c:ptCount val="1"/>
                <c:pt idx="0">
                  <c:v>40,00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electrical!$B$33:$B$42</c:f>
              <c:numCache>
                <c:formatCode>0.00E+00</c:formatCode>
                <c:ptCount val="10"/>
                <c:pt idx="0">
                  <c:v>1.3053999999999999</c:v>
                </c:pt>
                <c:pt idx="1">
                  <c:v>1.3053999999999999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E-45B5-8815-A85BB97D09D5}"/>
            </c:ext>
          </c:extLst>
        </c:ser>
        <c:ser>
          <c:idx val="1"/>
          <c:order val="1"/>
          <c:tx>
            <c:strRef>
              <c:f>electrical!$C$32</c:f>
              <c:strCache>
                <c:ptCount val="1"/>
                <c:pt idx="0">
                  <c:v>50,00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electrical!$C$33:$C$42</c:f>
              <c:numCache>
                <c:formatCode>0.00E+00</c:formatCode>
                <c:ptCount val="10"/>
                <c:pt idx="0">
                  <c:v>1.3394999999999999</c:v>
                </c:pt>
                <c:pt idx="1">
                  <c:v>1.3394999999999999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E-45B5-8815-A85BB97D09D5}"/>
            </c:ext>
          </c:extLst>
        </c:ser>
        <c:ser>
          <c:idx val="2"/>
          <c:order val="2"/>
          <c:tx>
            <c:strRef>
              <c:f>electrical!$D$32</c:f>
              <c:strCache>
                <c:ptCount val="1"/>
                <c:pt idx="0">
                  <c:v>60,00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electrical!$D$33:$D$42</c:f>
              <c:numCache>
                <c:formatCode>0.00E+00</c:formatCode>
                <c:ptCount val="10"/>
                <c:pt idx="0">
                  <c:v>1.3805000000000001</c:v>
                </c:pt>
                <c:pt idx="1">
                  <c:v>1.3805000000000001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E-45B5-8815-A85BB97D09D5}"/>
            </c:ext>
          </c:extLst>
        </c:ser>
        <c:ser>
          <c:idx val="3"/>
          <c:order val="3"/>
          <c:tx>
            <c:strRef>
              <c:f>electrical!$E$32</c:f>
              <c:strCache>
                <c:ptCount val="1"/>
                <c:pt idx="0">
                  <c:v>70,00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electrical!$E$33:$E$42</c:f>
              <c:numCache>
                <c:formatCode>0.00E+00</c:formatCode>
                <c:ptCount val="10"/>
                <c:pt idx="0">
                  <c:v>1.4061999999999999</c:v>
                </c:pt>
                <c:pt idx="1">
                  <c:v>1.4061999999999999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E-45B5-8815-A85BB97D09D5}"/>
            </c:ext>
          </c:extLst>
        </c:ser>
        <c:ser>
          <c:idx val="4"/>
          <c:order val="4"/>
          <c:tx>
            <c:strRef>
              <c:f>electrical!$F$32</c:f>
              <c:strCache>
                <c:ptCount val="1"/>
                <c:pt idx="0">
                  <c:v>80,00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electrical!$F$33:$F$42</c:f>
              <c:numCache>
                <c:formatCode>0.00E+00</c:formatCode>
                <c:ptCount val="10"/>
                <c:pt idx="0">
                  <c:v>1.4457</c:v>
                </c:pt>
                <c:pt idx="1">
                  <c:v>1.4457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4E-45B5-8815-A85BB97D09D5}"/>
            </c:ext>
          </c:extLst>
        </c:ser>
        <c:ser>
          <c:idx val="5"/>
          <c:order val="5"/>
          <c:tx>
            <c:strRef>
              <c:f>electrical!$G$32</c:f>
              <c:strCache>
                <c:ptCount val="1"/>
                <c:pt idx="0">
                  <c:v>90,00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electrical!$G$33:$G$42</c:f>
              <c:numCache>
                <c:formatCode>0.00E+00</c:formatCode>
                <c:ptCount val="10"/>
                <c:pt idx="0">
                  <c:v>1.4770000000000001</c:v>
                </c:pt>
                <c:pt idx="1">
                  <c:v>1.4770000000000001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4E-45B5-8815-A85BB97D09D5}"/>
            </c:ext>
          </c:extLst>
        </c:ser>
        <c:ser>
          <c:idx val="6"/>
          <c:order val="6"/>
          <c:tx>
            <c:strRef>
              <c:f>electrical!$H$32</c:f>
              <c:strCache>
                <c:ptCount val="1"/>
                <c:pt idx="0">
                  <c:v>100,00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electrical!$H$33:$H$42</c:f>
              <c:numCache>
                <c:formatCode>0.00E+00</c:formatCode>
                <c:ptCount val="10"/>
                <c:pt idx="0">
                  <c:v>1.5184</c:v>
                </c:pt>
                <c:pt idx="1">
                  <c:v>1.5184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4E-45B5-8815-A85BB97D09D5}"/>
            </c:ext>
          </c:extLst>
        </c:ser>
        <c:ser>
          <c:idx val="7"/>
          <c:order val="7"/>
          <c:tx>
            <c:strRef>
              <c:f>electrical!$I$32</c:f>
              <c:strCache>
                <c:ptCount val="1"/>
                <c:pt idx="0">
                  <c:v>110,00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electrical!$I$33:$I$42</c:f>
              <c:numCache>
                <c:formatCode>0.00E+00</c:formatCode>
                <c:ptCount val="10"/>
                <c:pt idx="0">
                  <c:v>1.5510999999999999</c:v>
                </c:pt>
                <c:pt idx="1">
                  <c:v>1.5510999999999999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4E-45B5-8815-A85BB97D09D5}"/>
            </c:ext>
          </c:extLst>
        </c:ser>
        <c:ser>
          <c:idx val="8"/>
          <c:order val="8"/>
          <c:tx>
            <c:strRef>
              <c:f>electrical!$J$32</c:f>
              <c:strCache>
                <c:ptCount val="1"/>
                <c:pt idx="0">
                  <c:v>120,00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electrical!$J$33:$J$42</c:f>
              <c:numCache>
                <c:formatCode>0.00E+00</c:formatCode>
                <c:ptCount val="10"/>
                <c:pt idx="0">
                  <c:v>1.5638000000000001</c:v>
                </c:pt>
                <c:pt idx="1">
                  <c:v>1.5638000000000001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4E-45B5-8815-A85BB97D09D5}"/>
            </c:ext>
          </c:extLst>
        </c:ser>
        <c:ser>
          <c:idx val="9"/>
          <c:order val="9"/>
          <c:tx>
            <c:strRef>
              <c:f>electrical!$K$32</c:f>
              <c:strCache>
                <c:ptCount val="1"/>
                <c:pt idx="0">
                  <c:v>0,00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electrical!$K$33:$K$42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4E-45B5-8815-A85BB97D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Steinmetz Parameter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electrical!$B$52</c:f>
              <c:strCache>
                <c:ptCount val="1"/>
                <c:pt idx="0">
                  <c:v>40,00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electrical!$B$53:$B$62</c:f>
              <c:numCache>
                <c:formatCode>0.00E+00</c:formatCode>
                <c:ptCount val="10"/>
                <c:pt idx="0">
                  <c:v>2.5003000000000002</c:v>
                </c:pt>
                <c:pt idx="1">
                  <c:v>2.4641000000000002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6-44D9-934E-A172A41A82CD}"/>
            </c:ext>
          </c:extLst>
        </c:ser>
        <c:ser>
          <c:idx val="1"/>
          <c:order val="1"/>
          <c:tx>
            <c:strRef>
              <c:f>electrical!$C$52</c:f>
              <c:strCache>
                <c:ptCount val="1"/>
                <c:pt idx="0">
                  <c:v>50,00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electrical!$C$53:$C$62</c:f>
              <c:numCache>
                <c:formatCode>0.00E+00</c:formatCode>
                <c:ptCount val="10"/>
                <c:pt idx="0">
                  <c:v>2.5480999999999998</c:v>
                </c:pt>
                <c:pt idx="1">
                  <c:v>2.4980000000000002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6-44D9-934E-A172A41A82CD}"/>
            </c:ext>
          </c:extLst>
        </c:ser>
        <c:ser>
          <c:idx val="2"/>
          <c:order val="2"/>
          <c:tx>
            <c:strRef>
              <c:f>electrical!$D$52</c:f>
              <c:strCache>
                <c:ptCount val="1"/>
                <c:pt idx="0">
                  <c:v>60,00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electrical!$D$53:$D$62</c:f>
              <c:numCache>
                <c:formatCode>0.00E+00</c:formatCode>
                <c:ptCount val="10"/>
                <c:pt idx="0">
                  <c:v>2.5756999999999999</c:v>
                </c:pt>
                <c:pt idx="1">
                  <c:v>2.5518000000000001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6-44D9-934E-A172A41A82CD}"/>
            </c:ext>
          </c:extLst>
        </c:ser>
        <c:ser>
          <c:idx val="3"/>
          <c:order val="3"/>
          <c:tx>
            <c:strRef>
              <c:f>electrical!$E$52</c:f>
              <c:strCache>
                <c:ptCount val="1"/>
                <c:pt idx="0">
                  <c:v>70,00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electrical!$E$53:$E$62</c:f>
              <c:numCache>
                <c:formatCode>0.00E+00</c:formatCode>
                <c:ptCount val="10"/>
                <c:pt idx="0">
                  <c:v>2.6387</c:v>
                </c:pt>
                <c:pt idx="1">
                  <c:v>2.5602999999999998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D6-44D9-934E-A172A41A82CD}"/>
            </c:ext>
          </c:extLst>
        </c:ser>
        <c:ser>
          <c:idx val="4"/>
          <c:order val="4"/>
          <c:tx>
            <c:strRef>
              <c:f>electrical!$F$52</c:f>
              <c:strCache>
                <c:ptCount val="1"/>
                <c:pt idx="0">
                  <c:v>80,00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electrical!$F$53:$F$62</c:f>
              <c:numCache>
                <c:formatCode>0.00E+00</c:formatCode>
                <c:ptCount val="10"/>
                <c:pt idx="0">
                  <c:v>2.6778</c:v>
                </c:pt>
                <c:pt idx="1">
                  <c:v>2.5705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D6-44D9-934E-A172A41A82CD}"/>
            </c:ext>
          </c:extLst>
        </c:ser>
        <c:ser>
          <c:idx val="5"/>
          <c:order val="5"/>
          <c:tx>
            <c:strRef>
              <c:f>electrical!$G$52</c:f>
              <c:strCache>
                <c:ptCount val="1"/>
                <c:pt idx="0">
                  <c:v>90,00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electrical!$G$53:$G$62</c:f>
              <c:numCache>
                <c:formatCode>0.00E+00</c:formatCode>
                <c:ptCount val="10"/>
                <c:pt idx="0">
                  <c:v>2.7113</c:v>
                </c:pt>
                <c:pt idx="1">
                  <c:v>2.5442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D6-44D9-934E-A172A41A82CD}"/>
            </c:ext>
          </c:extLst>
        </c:ser>
        <c:ser>
          <c:idx val="6"/>
          <c:order val="6"/>
          <c:tx>
            <c:strRef>
              <c:f>electrical!$H$52</c:f>
              <c:strCache>
                <c:ptCount val="1"/>
                <c:pt idx="0">
                  <c:v>100,00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electrical!$H$53:$H$62</c:f>
              <c:numCache>
                <c:formatCode>0.00E+00</c:formatCode>
                <c:ptCount val="10"/>
                <c:pt idx="0">
                  <c:v>2.7726000000000002</c:v>
                </c:pt>
                <c:pt idx="1">
                  <c:v>2.5333999999999999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D6-44D9-934E-A172A41A82CD}"/>
            </c:ext>
          </c:extLst>
        </c:ser>
        <c:ser>
          <c:idx val="7"/>
          <c:order val="7"/>
          <c:tx>
            <c:strRef>
              <c:f>electrical!$I$52</c:f>
              <c:strCache>
                <c:ptCount val="1"/>
                <c:pt idx="0">
                  <c:v>110,00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electrical!$I$53:$I$62</c:f>
              <c:numCache>
                <c:formatCode>0.00E+00</c:formatCode>
                <c:ptCount val="10"/>
                <c:pt idx="0">
                  <c:v>2.8001999999999998</c:v>
                </c:pt>
                <c:pt idx="1">
                  <c:v>2.5379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D6-44D9-934E-A172A41A82CD}"/>
            </c:ext>
          </c:extLst>
        </c:ser>
        <c:ser>
          <c:idx val="8"/>
          <c:order val="8"/>
          <c:tx>
            <c:strRef>
              <c:f>electrical!$J$52</c:f>
              <c:strCache>
                <c:ptCount val="1"/>
                <c:pt idx="0">
                  <c:v>120,00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electrical!$J$53:$J$62</c:f>
              <c:numCache>
                <c:formatCode>0.00E+00</c:formatCode>
                <c:ptCount val="10"/>
                <c:pt idx="0">
                  <c:v>2.8353999999999999</c:v>
                </c:pt>
                <c:pt idx="1">
                  <c:v>2.5552000000000001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D6-44D9-934E-A172A41A82CD}"/>
            </c:ext>
          </c:extLst>
        </c:ser>
        <c:ser>
          <c:idx val="9"/>
          <c:order val="9"/>
          <c:tx>
            <c:strRef>
              <c:f>electrical!$K$52</c:f>
              <c:strCache>
                <c:ptCount val="1"/>
                <c:pt idx="0">
                  <c:v>0,00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electrical!$K$53:$K$62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D6-44D9-934E-A172A41A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Pvsin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electrical!$B$72</c:f>
              <c:strCache>
                <c:ptCount val="1"/>
                <c:pt idx="0">
                  <c:v>40,00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electrical!$B$73:$B$82</c:f>
              <c:numCache>
                <c:formatCode>0.00E+00</c:formatCode>
                <c:ptCount val="10"/>
                <c:pt idx="0">
                  <c:v>575.92999999999995</c:v>
                </c:pt>
                <c:pt idx="1">
                  <c:v>1350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E-46E7-8B44-43E86AFE8554}"/>
            </c:ext>
          </c:extLst>
        </c:ser>
        <c:ser>
          <c:idx val="1"/>
          <c:order val="1"/>
          <c:tx>
            <c:strRef>
              <c:f>electrical!$C$72</c:f>
              <c:strCache>
                <c:ptCount val="1"/>
                <c:pt idx="0">
                  <c:v>50,00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electrical!$C$73:$C$82</c:f>
              <c:numCache>
                <c:formatCode>0.00E+00</c:formatCode>
                <c:ptCount val="10"/>
                <c:pt idx="0">
                  <c:v>531.02</c:v>
                </c:pt>
                <c:pt idx="1">
                  <c:v>1309.1199999999999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E-46E7-8B44-43E86AFE8554}"/>
            </c:ext>
          </c:extLst>
        </c:ser>
        <c:ser>
          <c:idx val="2"/>
          <c:order val="2"/>
          <c:tx>
            <c:strRef>
              <c:f>electrical!$D$72</c:f>
              <c:strCache>
                <c:ptCount val="1"/>
                <c:pt idx="0">
                  <c:v>60,00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electrical!$D$73:$D$82</c:f>
              <c:numCache>
                <c:formatCode>0.00E+00</c:formatCode>
                <c:ptCount val="10"/>
                <c:pt idx="0">
                  <c:v>479.07</c:v>
                </c:pt>
                <c:pt idx="1">
                  <c:v>1290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7E-46E7-8B44-43E86AFE8554}"/>
            </c:ext>
          </c:extLst>
        </c:ser>
        <c:ser>
          <c:idx val="3"/>
          <c:order val="3"/>
          <c:tx>
            <c:strRef>
              <c:f>electrical!$E$72</c:f>
              <c:strCache>
                <c:ptCount val="1"/>
                <c:pt idx="0">
                  <c:v>70,00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electrical!$E$73:$E$82</c:f>
              <c:numCache>
                <c:formatCode>0.00E+00</c:formatCode>
                <c:ptCount val="10"/>
                <c:pt idx="0">
                  <c:v>442.81</c:v>
                </c:pt>
                <c:pt idx="1">
                  <c:v>1240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7E-46E7-8B44-43E86AFE8554}"/>
            </c:ext>
          </c:extLst>
        </c:ser>
        <c:ser>
          <c:idx val="4"/>
          <c:order val="4"/>
          <c:tx>
            <c:strRef>
              <c:f>electrical!$F$72</c:f>
              <c:strCache>
                <c:ptCount val="1"/>
                <c:pt idx="0">
                  <c:v>80,00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electrical!$F$73:$F$82</c:f>
              <c:numCache>
                <c:formatCode>0.00E+00</c:formatCode>
                <c:ptCount val="10"/>
                <c:pt idx="0">
                  <c:v>410.64</c:v>
                </c:pt>
                <c:pt idx="1">
                  <c:v>1215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7E-46E7-8B44-43E86AFE8554}"/>
            </c:ext>
          </c:extLst>
        </c:ser>
        <c:ser>
          <c:idx val="5"/>
          <c:order val="5"/>
          <c:tx>
            <c:strRef>
              <c:f>electrical!$G$72</c:f>
              <c:strCache>
                <c:ptCount val="1"/>
                <c:pt idx="0">
                  <c:v>90,00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electrical!$G$73:$G$82</c:f>
              <c:numCache>
                <c:formatCode>0.00E+00</c:formatCode>
                <c:ptCount val="10"/>
                <c:pt idx="0">
                  <c:v>393.81</c:v>
                </c:pt>
                <c:pt idx="1">
                  <c:v>1205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7E-46E7-8B44-43E86AFE8554}"/>
            </c:ext>
          </c:extLst>
        </c:ser>
        <c:ser>
          <c:idx val="6"/>
          <c:order val="6"/>
          <c:tx>
            <c:strRef>
              <c:f>electrical!$H$72</c:f>
              <c:strCache>
                <c:ptCount val="1"/>
                <c:pt idx="0">
                  <c:v>100,00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electrical!$H$73:$H$82</c:f>
              <c:numCache>
                <c:formatCode>0.00E+00</c:formatCode>
                <c:ptCount val="10"/>
                <c:pt idx="0">
                  <c:v>392.92</c:v>
                </c:pt>
                <c:pt idx="1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7E-46E7-8B44-43E86AFE8554}"/>
            </c:ext>
          </c:extLst>
        </c:ser>
        <c:ser>
          <c:idx val="7"/>
          <c:order val="7"/>
          <c:tx>
            <c:strRef>
              <c:f>electrical!$I$72</c:f>
              <c:strCache>
                <c:ptCount val="1"/>
                <c:pt idx="0">
                  <c:v>110,00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electrical!$I$73:$I$82</c:f>
              <c:numCache>
                <c:formatCode>0.00E+00</c:formatCode>
                <c:ptCount val="10"/>
                <c:pt idx="0">
                  <c:v>415.13</c:v>
                </c:pt>
                <c:pt idx="1">
                  <c:v>1280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7E-46E7-8B44-43E86AFE8554}"/>
            </c:ext>
          </c:extLst>
        </c:ser>
        <c:ser>
          <c:idx val="8"/>
          <c:order val="8"/>
          <c:tx>
            <c:strRef>
              <c:f>electrical!$J$72</c:f>
              <c:strCache>
                <c:ptCount val="1"/>
                <c:pt idx="0">
                  <c:v>120,00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electrical!$J$73:$J$82</c:f>
              <c:numCache>
                <c:formatCode>0.00E+00</c:formatCode>
                <c:ptCount val="10"/>
                <c:pt idx="0">
                  <c:v>458.36</c:v>
                </c:pt>
                <c:pt idx="1">
                  <c:v>1370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7E-46E7-8B44-43E86AFE8554}"/>
            </c:ext>
          </c:extLst>
        </c:ser>
        <c:ser>
          <c:idx val="9"/>
          <c:order val="9"/>
          <c:tx>
            <c:strRef>
              <c:f>electrical!$K$72</c:f>
              <c:strCache>
                <c:ptCount val="1"/>
                <c:pt idx="0">
                  <c:v>0,00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electrical!$K$73:$K$82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67E-46E7-8B44-43E86AFE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Pvsin (kW/m3)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28</xdr:row>
      <xdr:rowOff>175260</xdr:rowOff>
    </xdr:from>
    <xdr:to>
      <xdr:col>21</xdr:col>
      <xdr:colOff>538440</xdr:colOff>
      <xdr:row>41</xdr:row>
      <xdr:rowOff>143457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355F-CE4A-4E67-8C92-D1ECF949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48</xdr:row>
      <xdr:rowOff>175260</xdr:rowOff>
    </xdr:from>
    <xdr:to>
      <xdr:col>21</xdr:col>
      <xdr:colOff>507960</xdr:colOff>
      <xdr:row>61</xdr:row>
      <xdr:rowOff>143457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CE58C-3634-47C1-B483-2A0F6F69D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69</xdr:row>
      <xdr:rowOff>7620</xdr:rowOff>
    </xdr:from>
    <xdr:to>
      <xdr:col>21</xdr:col>
      <xdr:colOff>538440</xdr:colOff>
      <xdr:row>81</xdr:row>
      <xdr:rowOff>166317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940C28-6A08-4577-95CE-07D88E340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1.7109375" bestFit="1" customWidth="1"/>
    <col min="2" max="2" width="13.7109375" bestFit="1" customWidth="1"/>
  </cols>
  <sheetData>
    <row r="1" spans="1:3" x14ac:dyDescent="0.25">
      <c r="A1" s="31" t="s">
        <v>41</v>
      </c>
      <c r="B1" t="s">
        <v>46</v>
      </c>
    </row>
    <row r="2" spans="1:3" x14ac:dyDescent="0.25">
      <c r="A2" s="31" t="s">
        <v>42</v>
      </c>
      <c r="B2" s="32">
        <v>45782</v>
      </c>
    </row>
    <row r="3" spans="1:3" x14ac:dyDescent="0.25">
      <c r="A3" s="31" t="s">
        <v>43</v>
      </c>
      <c r="B3" s="33"/>
    </row>
    <row r="7" spans="1:3" ht="15.75" thickBot="1" x14ac:dyDescent="0.3">
      <c r="A7" s="34" t="s">
        <v>0</v>
      </c>
      <c r="B7" s="34" t="s">
        <v>44</v>
      </c>
      <c r="C7" s="34" t="s">
        <v>14</v>
      </c>
    </row>
    <row r="8" spans="1:3" ht="15.75" thickTop="1" x14ac:dyDescent="0.25">
      <c r="A8" s="31" t="s">
        <v>22</v>
      </c>
      <c r="B8" t="s">
        <v>47</v>
      </c>
    </row>
    <row r="9" spans="1:3" x14ac:dyDescent="0.25">
      <c r="A9" s="31"/>
    </row>
    <row r="10" spans="1:3" x14ac:dyDescent="0.25">
      <c r="A10" s="31"/>
    </row>
    <row r="11" spans="1:3" x14ac:dyDescent="0.25">
      <c r="A11" s="31"/>
    </row>
    <row r="12" spans="1:3" x14ac:dyDescent="0.25">
      <c r="A12" s="31"/>
    </row>
    <row r="13" spans="1:3" x14ac:dyDescent="0.25">
      <c r="A13" s="31"/>
    </row>
    <row r="14" spans="1:3" x14ac:dyDescent="0.25">
      <c r="A14" s="31"/>
    </row>
  </sheetData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A7B3-208D-49B4-A622-7BE04E7FA670}">
  <dimension ref="A1:P109"/>
  <sheetViews>
    <sheetView tabSelected="1" zoomScale="85" zoomScaleNormal="85" workbookViewId="0">
      <selection activeCell="E13" sqref="E13"/>
    </sheetView>
  </sheetViews>
  <sheetFormatPr baseColWidth="10" defaultColWidth="9.140625" defaultRowHeight="15" x14ac:dyDescent="0.25"/>
  <cols>
    <col min="1" max="1" width="35.5703125" customWidth="1"/>
    <col min="2" max="2" width="54.85546875" customWidth="1"/>
  </cols>
  <sheetData>
    <row r="1" spans="1:16" ht="15.75" thickBot="1" x14ac:dyDescent="0.3">
      <c r="A1" s="1" t="s">
        <v>0</v>
      </c>
      <c r="B1" s="2" t="s">
        <v>40</v>
      </c>
      <c r="C1" s="2" t="s">
        <v>45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9" t="s">
        <v>14</v>
      </c>
    </row>
    <row r="2" spans="1:16" ht="15.75" thickTop="1" x14ac:dyDescent="0.25">
      <c r="A2" s="50" t="s">
        <v>68</v>
      </c>
      <c r="B2" s="42" t="s">
        <v>59</v>
      </c>
      <c r="C2" s="43" t="s">
        <v>15</v>
      </c>
      <c r="D2" s="44" t="s">
        <v>48</v>
      </c>
      <c r="E2" s="45">
        <v>10</v>
      </c>
      <c r="F2" s="46"/>
      <c r="G2" s="47"/>
      <c r="H2" s="47"/>
      <c r="I2" s="47"/>
      <c r="J2" s="47"/>
      <c r="K2" s="47"/>
      <c r="L2" s="47"/>
      <c r="M2" s="47"/>
      <c r="N2" s="47"/>
      <c r="O2" s="47"/>
      <c r="P2" s="48" t="s">
        <v>57</v>
      </c>
    </row>
    <row r="3" spans="1:16" x14ac:dyDescent="0.25">
      <c r="A3" s="50" t="s">
        <v>69</v>
      </c>
      <c r="B3" s="42" t="s">
        <v>60</v>
      </c>
      <c r="C3" s="43" t="s">
        <v>15</v>
      </c>
      <c r="D3" s="44" t="s">
        <v>49</v>
      </c>
      <c r="E3" s="45">
        <v>1</v>
      </c>
      <c r="F3" s="46"/>
      <c r="G3" s="47"/>
      <c r="H3" s="47"/>
      <c r="I3" s="47"/>
      <c r="J3" s="47"/>
      <c r="K3" s="47"/>
      <c r="L3" s="47"/>
      <c r="M3" s="47"/>
      <c r="N3" s="47"/>
      <c r="O3" s="47"/>
      <c r="P3" s="48" t="s">
        <v>57</v>
      </c>
    </row>
    <row r="4" spans="1:16" x14ac:dyDescent="0.25">
      <c r="A4" s="50" t="s">
        <v>137</v>
      </c>
      <c r="B4" s="42" t="s">
        <v>61</v>
      </c>
      <c r="C4" s="43" t="s">
        <v>15</v>
      </c>
      <c r="D4" s="44" t="s">
        <v>50</v>
      </c>
      <c r="E4" s="49">
        <v>2.3390000000000001E-2</v>
      </c>
      <c r="F4" s="46"/>
      <c r="G4" s="47"/>
      <c r="H4" s="47"/>
      <c r="I4" s="47"/>
      <c r="J4" s="47"/>
      <c r="K4" s="47"/>
      <c r="L4" s="47"/>
      <c r="M4" s="47"/>
      <c r="N4" s="47"/>
      <c r="O4" s="47"/>
      <c r="P4" s="48" t="s">
        <v>16</v>
      </c>
    </row>
    <row r="5" spans="1:16" x14ac:dyDescent="0.25">
      <c r="A5" s="50" t="s">
        <v>70</v>
      </c>
      <c r="B5" s="42" t="s">
        <v>62</v>
      </c>
      <c r="C5" s="43" t="s">
        <v>15</v>
      </c>
      <c r="D5" s="44" t="s">
        <v>51</v>
      </c>
      <c r="E5" s="49">
        <v>2.251E-3</v>
      </c>
      <c r="F5" s="46"/>
      <c r="G5" s="47"/>
      <c r="H5" s="47"/>
      <c r="I5" s="47"/>
      <c r="J5" s="47"/>
      <c r="K5" s="47"/>
      <c r="L5" s="47"/>
      <c r="M5" s="47"/>
      <c r="N5" s="47"/>
      <c r="O5" s="47"/>
      <c r="P5" s="48" t="s">
        <v>16</v>
      </c>
    </row>
    <row r="6" spans="1:16" x14ac:dyDescent="0.25">
      <c r="A6" s="50" t="s">
        <v>71</v>
      </c>
      <c r="B6" s="42" t="s">
        <v>63</v>
      </c>
      <c r="C6" s="43" t="s">
        <v>15</v>
      </c>
      <c r="D6" s="44" t="s">
        <v>52</v>
      </c>
      <c r="E6" s="49">
        <v>1000000000</v>
      </c>
      <c r="F6" s="46"/>
      <c r="G6" s="47"/>
      <c r="H6" s="47"/>
      <c r="I6" s="47"/>
      <c r="J6" s="47"/>
      <c r="K6" s="47"/>
      <c r="L6" s="47"/>
      <c r="M6" s="47"/>
      <c r="N6" s="47"/>
      <c r="O6" s="47"/>
      <c r="P6" s="48" t="s">
        <v>16</v>
      </c>
    </row>
    <row r="7" spans="1:16" x14ac:dyDescent="0.25">
      <c r="A7" s="50" t="s">
        <v>72</v>
      </c>
      <c r="B7" s="42" t="s">
        <v>64</v>
      </c>
      <c r="C7" s="43" t="s">
        <v>15</v>
      </c>
      <c r="D7" s="44" t="s">
        <v>53</v>
      </c>
      <c r="E7" s="49">
        <v>1000000000</v>
      </c>
      <c r="F7" s="46"/>
      <c r="G7" s="47"/>
      <c r="H7" s="47"/>
      <c r="I7" s="47"/>
      <c r="J7" s="47"/>
      <c r="K7" s="47"/>
      <c r="L7" s="47"/>
      <c r="M7" s="47"/>
      <c r="N7" s="47"/>
      <c r="O7" s="47"/>
      <c r="P7" s="48" t="s">
        <v>16</v>
      </c>
    </row>
    <row r="8" spans="1:16" x14ac:dyDescent="0.25">
      <c r="A8" s="50" t="s">
        <v>73</v>
      </c>
      <c r="B8" s="42" t="s">
        <v>65</v>
      </c>
      <c r="C8" s="43" t="s">
        <v>15</v>
      </c>
      <c r="D8" s="44" t="s">
        <v>54</v>
      </c>
      <c r="E8" s="49">
        <v>9.9999999999999995E-7</v>
      </c>
      <c r="F8" s="46"/>
      <c r="G8" s="46"/>
      <c r="H8" s="46"/>
      <c r="I8" s="46"/>
      <c r="J8" s="47"/>
      <c r="K8" s="47"/>
      <c r="L8" s="47"/>
      <c r="M8" s="47"/>
      <c r="N8" s="47"/>
      <c r="O8" s="47"/>
      <c r="P8" s="48" t="s">
        <v>58</v>
      </c>
    </row>
    <row r="9" spans="1:16" x14ac:dyDescent="0.25">
      <c r="A9" s="50" t="s">
        <v>74</v>
      </c>
      <c r="B9" s="42" t="s">
        <v>66</v>
      </c>
      <c r="C9" s="43" t="s">
        <v>15</v>
      </c>
      <c r="D9" s="44" t="s">
        <v>55</v>
      </c>
      <c r="E9" s="49">
        <v>2E-8</v>
      </c>
      <c r="F9" s="46"/>
      <c r="G9" s="46"/>
      <c r="H9" s="46"/>
      <c r="I9" s="46"/>
      <c r="J9" s="47"/>
      <c r="K9" s="47"/>
      <c r="L9" s="47"/>
      <c r="M9" s="47"/>
      <c r="N9" s="47"/>
      <c r="O9" s="47"/>
      <c r="P9" s="48" t="s">
        <v>58</v>
      </c>
    </row>
    <row r="10" spans="1:16" x14ac:dyDescent="0.25">
      <c r="A10" s="50" t="s">
        <v>75</v>
      </c>
      <c r="B10" s="42" t="s">
        <v>67</v>
      </c>
      <c r="C10" s="43" t="s">
        <v>15</v>
      </c>
      <c r="D10" s="44" t="s">
        <v>56</v>
      </c>
      <c r="E10" s="49">
        <v>5.9999999999999995E-4</v>
      </c>
      <c r="F10" s="46"/>
      <c r="G10" s="46"/>
      <c r="H10" s="46"/>
      <c r="I10" s="46"/>
      <c r="J10" s="47"/>
      <c r="K10" s="47"/>
      <c r="L10" s="47"/>
      <c r="M10" s="47"/>
      <c r="N10" s="47"/>
      <c r="O10" s="47"/>
      <c r="P10" s="48" t="s">
        <v>58</v>
      </c>
    </row>
    <row r="11" spans="1:16" x14ac:dyDescent="0.25">
      <c r="A11" s="35" t="s">
        <v>76</v>
      </c>
      <c r="B11" s="42" t="s">
        <v>79</v>
      </c>
      <c r="C11" s="43" t="s">
        <v>15</v>
      </c>
      <c r="D11" s="44" t="s">
        <v>77</v>
      </c>
      <c r="E11" s="8">
        <v>2.2699999999999999E-4</v>
      </c>
      <c r="F11" s="9"/>
      <c r="G11" s="9"/>
      <c r="H11" s="9"/>
      <c r="I11" s="9"/>
      <c r="J11" s="9"/>
      <c r="K11" s="9"/>
      <c r="L11" s="9"/>
      <c r="M11" s="10"/>
      <c r="N11" s="10"/>
      <c r="O11" s="38"/>
      <c r="P11" s="54" t="s">
        <v>90</v>
      </c>
    </row>
    <row r="12" spans="1:16" x14ac:dyDescent="0.25">
      <c r="A12" s="35" t="s">
        <v>78</v>
      </c>
      <c r="B12" s="42" t="s">
        <v>80</v>
      </c>
      <c r="C12" s="43" t="s">
        <v>15</v>
      </c>
      <c r="D12" s="44" t="s">
        <v>81</v>
      </c>
      <c r="E12" s="8">
        <v>2.2019999999999999E-5</v>
      </c>
      <c r="F12" s="9"/>
      <c r="G12" s="10"/>
      <c r="H12" s="10"/>
      <c r="I12" s="10"/>
      <c r="J12" s="10"/>
      <c r="K12" s="10"/>
      <c r="L12" s="10"/>
      <c r="M12" s="10"/>
      <c r="N12" s="10"/>
      <c r="O12" s="38"/>
      <c r="P12" s="54" t="s">
        <v>91</v>
      </c>
    </row>
    <row r="13" spans="1:16" x14ac:dyDescent="0.25">
      <c r="A13" s="35" t="s">
        <v>83</v>
      </c>
      <c r="B13" s="42" t="s">
        <v>84</v>
      </c>
      <c r="C13" s="43" t="s">
        <v>15</v>
      </c>
      <c r="D13" s="44" t="s">
        <v>85</v>
      </c>
      <c r="E13" s="8">
        <v>40</v>
      </c>
      <c r="F13" s="52">
        <v>40</v>
      </c>
      <c r="G13" s="9">
        <v>50</v>
      </c>
      <c r="H13" s="53">
        <v>60</v>
      </c>
      <c r="I13" s="53">
        <v>70</v>
      </c>
      <c r="J13" s="53">
        <v>80</v>
      </c>
      <c r="K13" s="53">
        <v>90</v>
      </c>
      <c r="L13" s="53">
        <v>100</v>
      </c>
      <c r="M13" s="53">
        <v>110</v>
      </c>
      <c r="N13" s="53">
        <v>120</v>
      </c>
      <c r="O13" s="38"/>
      <c r="P13" s="54" t="s">
        <v>92</v>
      </c>
    </row>
    <row r="14" spans="1:16" x14ac:dyDescent="0.25">
      <c r="A14" s="35" t="s">
        <v>86</v>
      </c>
      <c r="B14" s="42" t="s">
        <v>111</v>
      </c>
      <c r="C14" s="43" t="s">
        <v>15</v>
      </c>
      <c r="D14" s="44" t="s">
        <v>87</v>
      </c>
      <c r="E14" s="8">
        <v>100000</v>
      </c>
      <c r="F14" s="9">
        <v>100000</v>
      </c>
      <c r="G14" s="9">
        <v>200000</v>
      </c>
      <c r="H14" s="9"/>
      <c r="I14" s="9"/>
      <c r="J14" s="9"/>
      <c r="K14" s="9"/>
      <c r="L14" s="9"/>
      <c r="M14" s="9"/>
      <c r="N14" s="9"/>
      <c r="O14" s="37"/>
      <c r="P14" s="54" t="s">
        <v>93</v>
      </c>
    </row>
    <row r="15" spans="1:16" x14ac:dyDescent="0.25">
      <c r="A15" s="35" t="s">
        <v>94</v>
      </c>
      <c r="B15" s="42" t="s">
        <v>112</v>
      </c>
      <c r="C15" s="43" t="s">
        <v>97</v>
      </c>
      <c r="D15" s="44" t="s">
        <v>98</v>
      </c>
      <c r="E15" s="8">
        <v>1.3053999999999999</v>
      </c>
      <c r="F15" s="9"/>
      <c r="G15" s="9"/>
      <c r="H15" s="9"/>
      <c r="I15" s="9"/>
      <c r="J15" s="9"/>
      <c r="K15" s="9"/>
      <c r="L15" s="9"/>
      <c r="M15" s="9"/>
      <c r="N15" s="9"/>
      <c r="O15" s="37"/>
      <c r="P15" s="54"/>
    </row>
    <row r="16" spans="1:16" x14ac:dyDescent="0.25">
      <c r="A16" s="35" t="s">
        <v>95</v>
      </c>
      <c r="B16" s="42" t="s">
        <v>112</v>
      </c>
      <c r="C16" s="43" t="s">
        <v>97</v>
      </c>
      <c r="D16" s="44" t="s">
        <v>99</v>
      </c>
      <c r="E16" s="8">
        <v>2.5003000000000002</v>
      </c>
      <c r="F16" s="9"/>
      <c r="G16" s="9"/>
      <c r="H16" s="9"/>
      <c r="I16" s="9"/>
      <c r="J16" s="9"/>
      <c r="K16" s="9"/>
      <c r="L16" s="9"/>
      <c r="M16" s="9"/>
      <c r="N16" s="9"/>
      <c r="O16" s="37"/>
      <c r="P16" s="40"/>
    </row>
    <row r="17" spans="1:16" x14ac:dyDescent="0.25">
      <c r="A17" s="35" t="s">
        <v>96</v>
      </c>
      <c r="B17" s="42" t="s">
        <v>112</v>
      </c>
      <c r="C17" s="43" t="s">
        <v>97</v>
      </c>
      <c r="D17" s="44" t="s">
        <v>100</v>
      </c>
      <c r="E17" s="8">
        <v>575.92999999999995</v>
      </c>
      <c r="F17" s="9"/>
      <c r="G17" s="9"/>
      <c r="H17" s="9"/>
      <c r="I17" s="9"/>
      <c r="J17" s="9"/>
      <c r="K17" s="9"/>
      <c r="L17" s="9"/>
      <c r="M17" s="9"/>
      <c r="N17" s="9"/>
      <c r="O17" s="37"/>
      <c r="P17" s="40"/>
    </row>
    <row r="18" spans="1:16" x14ac:dyDescent="0.25">
      <c r="A18" s="55" t="s">
        <v>109</v>
      </c>
      <c r="B18" t="s">
        <v>107</v>
      </c>
      <c r="C18" s="43" t="s">
        <v>97</v>
      </c>
      <c r="D18" s="44" t="s">
        <v>108</v>
      </c>
      <c r="E18" s="57" t="s">
        <v>136</v>
      </c>
      <c r="F18" s="9"/>
      <c r="G18" s="9"/>
      <c r="H18" s="9"/>
      <c r="I18" s="9"/>
      <c r="J18" s="9"/>
      <c r="K18" s="9"/>
      <c r="L18" s="9"/>
      <c r="M18" s="9"/>
      <c r="N18" s="9"/>
      <c r="O18" s="37"/>
      <c r="P18" s="40"/>
    </row>
    <row r="19" spans="1:16" x14ac:dyDescent="0.25">
      <c r="A19" s="35" t="s">
        <v>103</v>
      </c>
      <c r="B19" t="s">
        <v>104</v>
      </c>
      <c r="C19" s="43" t="s">
        <v>97</v>
      </c>
      <c r="D19" s="44" t="s">
        <v>101</v>
      </c>
      <c r="E19" s="8">
        <v>0.01</v>
      </c>
      <c r="F19" s="9"/>
      <c r="G19" s="9"/>
      <c r="H19" s="9"/>
      <c r="I19" s="9"/>
      <c r="J19" s="9"/>
      <c r="K19" s="9"/>
      <c r="L19" s="9"/>
      <c r="M19" s="9"/>
      <c r="N19" s="9"/>
      <c r="O19" s="37"/>
      <c r="P19" s="56" t="s">
        <v>110</v>
      </c>
    </row>
    <row r="20" spans="1:16" x14ac:dyDescent="0.25">
      <c r="A20" s="35" t="s">
        <v>105</v>
      </c>
      <c r="B20" t="s">
        <v>106</v>
      </c>
      <c r="C20" s="43" t="s">
        <v>97</v>
      </c>
      <c r="D20" s="44" t="s">
        <v>102</v>
      </c>
      <c r="E20" s="8">
        <v>2.0000000000000001E-4</v>
      </c>
      <c r="F20" s="9"/>
      <c r="G20" s="9"/>
      <c r="H20" s="9"/>
      <c r="I20" s="9"/>
      <c r="J20" s="9"/>
      <c r="K20" s="9"/>
      <c r="L20" s="9"/>
      <c r="M20" s="9"/>
      <c r="N20" s="9"/>
      <c r="O20" s="37"/>
      <c r="P20" s="56" t="s">
        <v>110</v>
      </c>
    </row>
    <row r="21" spans="1:16" x14ac:dyDescent="0.25">
      <c r="A21" s="35" t="s">
        <v>127</v>
      </c>
      <c r="B21" t="s">
        <v>133</v>
      </c>
      <c r="C21" s="43" t="s">
        <v>97</v>
      </c>
      <c r="D21" s="44" t="s">
        <v>128</v>
      </c>
      <c r="E21" s="8">
        <v>1E-3</v>
      </c>
      <c r="F21" s="9"/>
      <c r="G21" s="9"/>
      <c r="H21" s="9"/>
      <c r="I21" s="9"/>
      <c r="J21" s="9"/>
      <c r="K21" s="9"/>
      <c r="L21" s="9"/>
      <c r="M21" s="9"/>
      <c r="N21" s="9"/>
      <c r="O21" s="37"/>
      <c r="P21" s="54" t="s">
        <v>110</v>
      </c>
    </row>
    <row r="22" spans="1:16" x14ac:dyDescent="0.25">
      <c r="A22" s="35" t="s">
        <v>129</v>
      </c>
      <c r="B22" t="s">
        <v>130</v>
      </c>
      <c r="C22" s="43" t="s">
        <v>97</v>
      </c>
      <c r="D22" s="44" t="s">
        <v>131</v>
      </c>
      <c r="E22" s="8">
        <v>1</v>
      </c>
      <c r="F22" s="9"/>
      <c r="G22" s="9"/>
      <c r="H22" s="9"/>
      <c r="I22" s="9"/>
      <c r="J22" s="9"/>
      <c r="K22" s="9"/>
      <c r="L22" s="9"/>
      <c r="M22" s="9"/>
      <c r="N22" s="9"/>
      <c r="O22" s="37"/>
      <c r="P22" s="54"/>
    </row>
    <row r="23" spans="1:16" x14ac:dyDescent="0.25">
      <c r="A23" s="35" t="s">
        <v>132</v>
      </c>
      <c r="B23" t="s">
        <v>134</v>
      </c>
      <c r="C23" s="43" t="s">
        <v>97</v>
      </c>
      <c r="D23" s="44" t="s">
        <v>135</v>
      </c>
      <c r="E23" s="8">
        <v>1E-3</v>
      </c>
      <c r="F23" s="9"/>
      <c r="G23" s="9"/>
      <c r="H23" s="9"/>
      <c r="I23" s="9"/>
      <c r="J23" s="9"/>
      <c r="K23" s="9"/>
      <c r="L23" s="9"/>
      <c r="M23" s="9"/>
      <c r="N23" s="9"/>
      <c r="O23" s="37"/>
      <c r="P23" s="54" t="s">
        <v>110</v>
      </c>
    </row>
    <row r="24" spans="1:16" x14ac:dyDescent="0.25">
      <c r="A24" s="6"/>
      <c r="D24" s="36"/>
      <c r="E24" s="8"/>
      <c r="F24" s="9"/>
      <c r="G24" s="9"/>
      <c r="H24" s="9"/>
      <c r="I24" s="9"/>
      <c r="J24" s="9"/>
      <c r="K24" s="9"/>
      <c r="L24" s="9"/>
      <c r="M24" s="9"/>
      <c r="N24" s="9"/>
      <c r="O24" s="37"/>
      <c r="P24" s="54"/>
    </row>
    <row r="25" spans="1:16" ht="15.75" thickBot="1" x14ac:dyDescent="0.3">
      <c r="A25" s="16"/>
      <c r="B25" s="17"/>
      <c r="C25" s="17"/>
      <c r="D25" s="17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1"/>
    </row>
    <row r="29" spans="1:16" ht="15.75" thickBot="1" x14ac:dyDescent="0.3"/>
    <row r="30" spans="1:16" x14ac:dyDescent="0.25">
      <c r="A30" s="61" t="s">
        <v>82</v>
      </c>
      <c r="B30" s="62"/>
      <c r="C30" s="62"/>
      <c r="D30" s="62"/>
      <c r="E30" s="62"/>
      <c r="F30" s="62"/>
      <c r="G30" s="62"/>
      <c r="H30" s="62"/>
      <c r="I30" s="62"/>
      <c r="J30" s="62"/>
      <c r="K30" s="63"/>
    </row>
    <row r="31" spans="1:16" x14ac:dyDescent="0.25">
      <c r="A31" s="23" t="s">
        <v>21</v>
      </c>
      <c r="B31" s="58" t="s">
        <v>20</v>
      </c>
      <c r="C31" s="59"/>
      <c r="D31" s="59"/>
      <c r="E31" s="59"/>
      <c r="F31" s="59"/>
      <c r="G31" s="59"/>
      <c r="H31" s="59"/>
      <c r="I31" s="59"/>
      <c r="J31" s="59"/>
      <c r="K31" s="60"/>
    </row>
    <row r="32" spans="1:16" ht="15.75" thickBot="1" x14ac:dyDescent="0.3">
      <c r="A32" s="24"/>
      <c r="B32" s="25">
        <f>F$13</f>
        <v>40</v>
      </c>
      <c r="C32" s="25">
        <f t="shared" ref="C32:K32" si="0">G$13</f>
        <v>50</v>
      </c>
      <c r="D32" s="25">
        <f t="shared" si="0"/>
        <v>60</v>
      </c>
      <c r="E32" s="25">
        <f t="shared" si="0"/>
        <v>70</v>
      </c>
      <c r="F32" s="25">
        <f t="shared" si="0"/>
        <v>80</v>
      </c>
      <c r="G32" s="25">
        <f t="shared" si="0"/>
        <v>90</v>
      </c>
      <c r="H32" s="25">
        <f t="shared" si="0"/>
        <v>100</v>
      </c>
      <c r="I32" s="25">
        <f t="shared" si="0"/>
        <v>110</v>
      </c>
      <c r="J32" s="25">
        <f t="shared" si="0"/>
        <v>120</v>
      </c>
      <c r="K32" s="51">
        <f t="shared" si="0"/>
        <v>0</v>
      </c>
    </row>
    <row r="33" spans="1:11" ht="15.75" thickTop="1" x14ac:dyDescent="0.25">
      <c r="A33" s="27">
        <f>F$14</f>
        <v>100000</v>
      </c>
      <c r="B33" s="9">
        <v>1.3053999999999999</v>
      </c>
      <c r="C33" s="9">
        <v>1.3394999999999999</v>
      </c>
      <c r="D33" s="9">
        <v>1.3805000000000001</v>
      </c>
      <c r="E33" s="9">
        <v>1.4061999999999999</v>
      </c>
      <c r="F33" s="9">
        <v>1.4457</v>
      </c>
      <c r="G33" s="9">
        <v>1.4770000000000001</v>
      </c>
      <c r="H33" s="9">
        <v>1.5184</v>
      </c>
      <c r="I33" s="9">
        <v>1.5510999999999999</v>
      </c>
      <c r="J33" s="9">
        <v>1.5638000000000001</v>
      </c>
      <c r="K33" s="28"/>
    </row>
    <row r="34" spans="1:11" x14ac:dyDescent="0.25">
      <c r="A34" s="27">
        <f>G$14</f>
        <v>200000</v>
      </c>
      <c r="B34" s="9">
        <v>1.3053999999999999</v>
      </c>
      <c r="C34" s="9">
        <v>1.3394999999999999</v>
      </c>
      <c r="D34" s="9">
        <v>1.3805000000000001</v>
      </c>
      <c r="E34" s="9">
        <v>1.4061999999999999</v>
      </c>
      <c r="F34" s="9">
        <v>1.4457</v>
      </c>
      <c r="G34" s="9">
        <v>1.4770000000000001</v>
      </c>
      <c r="H34" s="9">
        <v>1.5184</v>
      </c>
      <c r="I34" s="9">
        <v>1.5510999999999999</v>
      </c>
      <c r="J34" s="9">
        <v>1.5638000000000001</v>
      </c>
      <c r="K34" s="28"/>
    </row>
    <row r="35" spans="1:11" x14ac:dyDescent="0.25">
      <c r="A35" s="27">
        <f>H$14</f>
        <v>0</v>
      </c>
      <c r="B35" s="9"/>
      <c r="C35" s="9"/>
      <c r="D35" s="9"/>
      <c r="E35" s="9"/>
      <c r="F35" s="9"/>
      <c r="G35" s="9"/>
      <c r="H35" s="9"/>
      <c r="I35" s="9"/>
      <c r="J35" s="9"/>
      <c r="K35" s="28"/>
    </row>
    <row r="36" spans="1:11" x14ac:dyDescent="0.25">
      <c r="A36" s="27">
        <f>I$14</f>
        <v>0</v>
      </c>
      <c r="B36" s="9"/>
      <c r="C36" s="9"/>
      <c r="D36" s="9"/>
      <c r="E36" s="9"/>
      <c r="F36" s="9"/>
      <c r="G36" s="9"/>
      <c r="H36" s="9"/>
      <c r="I36" s="9"/>
      <c r="J36" s="9"/>
      <c r="K36" s="28"/>
    </row>
    <row r="37" spans="1:11" x14ac:dyDescent="0.25">
      <c r="A37" s="27">
        <f>J$14</f>
        <v>0</v>
      </c>
      <c r="B37" s="9"/>
      <c r="C37" s="9"/>
      <c r="D37" s="9"/>
      <c r="E37" s="9"/>
      <c r="F37" s="9"/>
      <c r="G37" s="9"/>
      <c r="H37" s="9"/>
      <c r="I37" s="9"/>
      <c r="J37" s="9"/>
      <c r="K37" s="28"/>
    </row>
    <row r="38" spans="1:11" x14ac:dyDescent="0.25">
      <c r="A38" s="27">
        <f>K$14</f>
        <v>0</v>
      </c>
      <c r="B38" s="9"/>
      <c r="C38" s="9"/>
      <c r="D38" s="9"/>
      <c r="E38" s="9"/>
      <c r="F38" s="9"/>
      <c r="G38" s="9"/>
      <c r="H38" s="9"/>
      <c r="I38" s="9"/>
      <c r="J38" s="9"/>
      <c r="K38" s="28"/>
    </row>
    <row r="39" spans="1:11" x14ac:dyDescent="0.25">
      <c r="A39" s="27">
        <f>L$14</f>
        <v>0</v>
      </c>
      <c r="B39" s="9"/>
      <c r="C39" s="9"/>
      <c r="D39" s="9"/>
      <c r="E39" s="9"/>
      <c r="F39" s="9"/>
      <c r="G39" s="9"/>
      <c r="H39" s="9"/>
      <c r="I39" s="9"/>
      <c r="J39" s="9"/>
      <c r="K39" s="28"/>
    </row>
    <row r="40" spans="1:11" x14ac:dyDescent="0.25">
      <c r="A40" s="27">
        <f>M$14</f>
        <v>0</v>
      </c>
      <c r="B40" s="9"/>
      <c r="C40" s="9"/>
      <c r="D40" s="9"/>
      <c r="E40" s="9"/>
      <c r="F40" s="9"/>
      <c r="G40" s="9"/>
      <c r="H40" s="9"/>
      <c r="I40" s="9"/>
      <c r="J40" s="9"/>
      <c r="K40" s="28"/>
    </row>
    <row r="41" spans="1:11" x14ac:dyDescent="0.25">
      <c r="A41" s="27">
        <f>N$14</f>
        <v>0</v>
      </c>
      <c r="B41" s="9"/>
      <c r="C41" s="9"/>
      <c r="D41" s="9"/>
      <c r="E41" s="9"/>
      <c r="F41" s="9"/>
      <c r="G41" s="9"/>
      <c r="H41" s="9"/>
      <c r="I41" s="9"/>
      <c r="J41" s="9"/>
      <c r="K41" s="28"/>
    </row>
    <row r="42" spans="1:11" ht="15.75" thickBot="1" x14ac:dyDescent="0.3">
      <c r="A42" s="29">
        <f>O$14</f>
        <v>0</v>
      </c>
      <c r="B42" s="20"/>
      <c r="C42" s="20"/>
      <c r="D42" s="20"/>
      <c r="E42" s="20"/>
      <c r="F42" s="20"/>
      <c r="G42" s="20"/>
      <c r="H42" s="20"/>
      <c r="I42" s="20"/>
      <c r="J42" s="20"/>
      <c r="K42" s="30"/>
    </row>
    <row r="49" spans="1:11" ht="15.75" thickBot="1" x14ac:dyDescent="0.3"/>
    <row r="50" spans="1:11" x14ac:dyDescent="0.25">
      <c r="A50" s="61" t="s">
        <v>88</v>
      </c>
      <c r="B50" s="62"/>
      <c r="C50" s="62"/>
      <c r="D50" s="62"/>
      <c r="E50" s="62"/>
      <c r="F50" s="62"/>
      <c r="G50" s="62"/>
      <c r="H50" s="62"/>
      <c r="I50" s="62"/>
      <c r="J50" s="62"/>
      <c r="K50" s="63"/>
    </row>
    <row r="51" spans="1:11" x14ac:dyDescent="0.25">
      <c r="A51" s="23" t="s">
        <v>21</v>
      </c>
      <c r="B51" s="58" t="s">
        <v>20</v>
      </c>
      <c r="C51" s="59"/>
      <c r="D51" s="59"/>
      <c r="E51" s="59"/>
      <c r="F51" s="59"/>
      <c r="G51" s="59"/>
      <c r="H51" s="59"/>
      <c r="I51" s="59"/>
      <c r="J51" s="59"/>
      <c r="K51" s="60"/>
    </row>
    <row r="52" spans="1:11" ht="15.75" thickBot="1" x14ac:dyDescent="0.3">
      <c r="A52" s="24"/>
      <c r="B52" s="25">
        <f>F$13</f>
        <v>40</v>
      </c>
      <c r="C52" s="25">
        <f t="shared" ref="C52" si="1">G$13</f>
        <v>50</v>
      </c>
      <c r="D52" s="25">
        <f t="shared" ref="D52" si="2">H$13</f>
        <v>60</v>
      </c>
      <c r="E52" s="25">
        <f t="shared" ref="E52" si="3">I$13</f>
        <v>70</v>
      </c>
      <c r="F52" s="25">
        <f t="shared" ref="F52" si="4">J$13</f>
        <v>80</v>
      </c>
      <c r="G52" s="25">
        <f t="shared" ref="G52" si="5">K$13</f>
        <v>90</v>
      </c>
      <c r="H52" s="25">
        <f t="shared" ref="H52" si="6">L$13</f>
        <v>100</v>
      </c>
      <c r="I52" s="25">
        <f t="shared" ref="I52" si="7">M$13</f>
        <v>110</v>
      </c>
      <c r="J52" s="25">
        <f t="shared" ref="J52" si="8">N$13</f>
        <v>120</v>
      </c>
      <c r="K52" s="51">
        <f t="shared" ref="K52" si="9">O$13</f>
        <v>0</v>
      </c>
    </row>
    <row r="53" spans="1:11" ht="15.75" thickTop="1" x14ac:dyDescent="0.25">
      <c r="A53" s="27">
        <f>F$14</f>
        <v>100000</v>
      </c>
      <c r="B53" s="9">
        <v>2.5003000000000002</v>
      </c>
      <c r="C53" s="9">
        <v>2.5480999999999998</v>
      </c>
      <c r="D53" s="9">
        <v>2.5756999999999999</v>
      </c>
      <c r="E53" s="9">
        <v>2.6387</v>
      </c>
      <c r="F53" s="9">
        <v>2.6778</v>
      </c>
      <c r="G53" s="9">
        <v>2.7113</v>
      </c>
      <c r="H53" s="9">
        <v>2.7726000000000002</v>
      </c>
      <c r="I53" s="9">
        <v>2.8001999999999998</v>
      </c>
      <c r="J53" s="9">
        <v>2.8353999999999999</v>
      </c>
      <c r="K53" s="28"/>
    </row>
    <row r="54" spans="1:11" x14ac:dyDescent="0.25">
      <c r="A54" s="27">
        <f>G$14</f>
        <v>200000</v>
      </c>
      <c r="B54" s="9">
        <v>2.4641000000000002</v>
      </c>
      <c r="C54" s="9">
        <v>2.4980000000000002</v>
      </c>
      <c r="D54" s="9">
        <v>2.5518000000000001</v>
      </c>
      <c r="E54" s="9">
        <v>2.5602999999999998</v>
      </c>
      <c r="F54" s="9">
        <v>2.5705</v>
      </c>
      <c r="G54" s="9">
        <v>2.5442</v>
      </c>
      <c r="H54" s="9">
        <v>2.5333999999999999</v>
      </c>
      <c r="I54" s="9">
        <v>2.5379</v>
      </c>
      <c r="J54" s="9">
        <v>2.5552000000000001</v>
      </c>
      <c r="K54" s="28"/>
    </row>
    <row r="55" spans="1:11" x14ac:dyDescent="0.25">
      <c r="A55" s="27">
        <f>H$14</f>
        <v>0</v>
      </c>
      <c r="B55" s="9"/>
      <c r="C55" s="9"/>
      <c r="D55" s="9"/>
      <c r="E55" s="9"/>
      <c r="F55" s="9"/>
      <c r="G55" s="9"/>
      <c r="H55" s="9"/>
      <c r="I55" s="9"/>
      <c r="J55" s="9"/>
      <c r="K55" s="28"/>
    </row>
    <row r="56" spans="1:11" x14ac:dyDescent="0.25">
      <c r="A56" s="27">
        <f>I$14</f>
        <v>0</v>
      </c>
      <c r="B56" s="9"/>
      <c r="C56" s="9"/>
      <c r="D56" s="9"/>
      <c r="E56" s="9"/>
      <c r="F56" s="9"/>
      <c r="G56" s="9"/>
      <c r="H56" s="9"/>
      <c r="I56" s="9"/>
      <c r="J56" s="9"/>
      <c r="K56" s="28"/>
    </row>
    <row r="57" spans="1:11" x14ac:dyDescent="0.25">
      <c r="A57" s="27">
        <f>J$14</f>
        <v>0</v>
      </c>
      <c r="B57" s="9"/>
      <c r="C57" s="9"/>
      <c r="D57" s="9"/>
      <c r="E57" s="9"/>
      <c r="F57" s="9"/>
      <c r="G57" s="9"/>
      <c r="H57" s="9"/>
      <c r="I57" s="9"/>
      <c r="J57" s="9"/>
      <c r="K57" s="28"/>
    </row>
    <row r="58" spans="1:11" x14ac:dyDescent="0.25">
      <c r="A58" s="27">
        <f>K$14</f>
        <v>0</v>
      </c>
      <c r="B58" s="9"/>
      <c r="C58" s="9"/>
      <c r="D58" s="9"/>
      <c r="E58" s="9"/>
      <c r="F58" s="9"/>
      <c r="G58" s="9"/>
      <c r="H58" s="9"/>
      <c r="I58" s="9"/>
      <c r="J58" s="9"/>
      <c r="K58" s="28"/>
    </row>
    <row r="59" spans="1:11" x14ac:dyDescent="0.25">
      <c r="A59" s="27">
        <f>L$14</f>
        <v>0</v>
      </c>
      <c r="B59" s="9"/>
      <c r="C59" s="9"/>
      <c r="D59" s="9"/>
      <c r="E59" s="9"/>
      <c r="F59" s="9"/>
      <c r="G59" s="9"/>
      <c r="H59" s="9"/>
      <c r="I59" s="9"/>
      <c r="J59" s="9"/>
      <c r="K59" s="28"/>
    </row>
    <row r="60" spans="1:11" x14ac:dyDescent="0.25">
      <c r="A60" s="27">
        <f>M$14</f>
        <v>0</v>
      </c>
      <c r="B60" s="9"/>
      <c r="C60" s="9"/>
      <c r="D60" s="9"/>
      <c r="E60" s="9"/>
      <c r="F60" s="9"/>
      <c r="G60" s="9"/>
      <c r="H60" s="9"/>
      <c r="I60" s="9"/>
      <c r="J60" s="9"/>
      <c r="K60" s="28"/>
    </row>
    <row r="61" spans="1:11" x14ac:dyDescent="0.25">
      <c r="A61" s="27">
        <f>N$14</f>
        <v>0</v>
      </c>
      <c r="B61" s="9"/>
      <c r="C61" s="9"/>
      <c r="D61" s="9"/>
      <c r="E61" s="9"/>
      <c r="F61" s="9"/>
      <c r="G61" s="9"/>
      <c r="H61" s="9"/>
      <c r="I61" s="9"/>
      <c r="J61" s="9"/>
      <c r="K61" s="28"/>
    </row>
    <row r="62" spans="1:11" ht="15.75" thickBot="1" x14ac:dyDescent="0.3">
      <c r="A62" s="29">
        <f>O$14</f>
        <v>0</v>
      </c>
      <c r="B62" s="20"/>
      <c r="C62" s="20"/>
      <c r="D62" s="20"/>
      <c r="E62" s="20"/>
      <c r="F62" s="20"/>
      <c r="G62" s="20"/>
      <c r="H62" s="20"/>
      <c r="I62" s="20"/>
      <c r="J62" s="20"/>
      <c r="K62" s="30"/>
    </row>
    <row r="69" spans="1:11" ht="15.75" thickBot="1" x14ac:dyDescent="0.3"/>
    <row r="70" spans="1:11" x14ac:dyDescent="0.25">
      <c r="A70" s="61" t="s">
        <v>89</v>
      </c>
      <c r="B70" s="62"/>
      <c r="C70" s="62"/>
      <c r="D70" s="62"/>
      <c r="E70" s="62"/>
      <c r="F70" s="62"/>
      <c r="G70" s="62"/>
      <c r="H70" s="62"/>
      <c r="I70" s="62"/>
      <c r="J70" s="62"/>
      <c r="K70" s="63"/>
    </row>
    <row r="71" spans="1:11" x14ac:dyDescent="0.25">
      <c r="A71" s="23" t="s">
        <v>21</v>
      </c>
      <c r="B71" s="58" t="s">
        <v>20</v>
      </c>
      <c r="C71" s="59"/>
      <c r="D71" s="59"/>
      <c r="E71" s="59"/>
      <c r="F71" s="59"/>
      <c r="G71" s="59"/>
      <c r="H71" s="59"/>
      <c r="I71" s="59"/>
      <c r="J71" s="59"/>
      <c r="K71" s="60"/>
    </row>
    <row r="72" spans="1:11" ht="15.75" thickBot="1" x14ac:dyDescent="0.3">
      <c r="A72" s="24"/>
      <c r="B72" s="25">
        <f>F$13</f>
        <v>40</v>
      </c>
      <c r="C72" s="25">
        <f t="shared" ref="C72" si="10">G$13</f>
        <v>50</v>
      </c>
      <c r="D72" s="25">
        <f t="shared" ref="D72" si="11">H$13</f>
        <v>60</v>
      </c>
      <c r="E72" s="25">
        <f t="shared" ref="E72" si="12">I$13</f>
        <v>70</v>
      </c>
      <c r="F72" s="25">
        <f t="shared" ref="F72" si="13">J$13</f>
        <v>80</v>
      </c>
      <c r="G72" s="25">
        <f t="shared" ref="G72" si="14">K$13</f>
        <v>90</v>
      </c>
      <c r="H72" s="25">
        <f t="shared" ref="H72" si="15">L$13</f>
        <v>100</v>
      </c>
      <c r="I72" s="25">
        <f t="shared" ref="I72" si="16">M$13</f>
        <v>110</v>
      </c>
      <c r="J72" s="25">
        <f t="shared" ref="J72" si="17">N$13</f>
        <v>120</v>
      </c>
      <c r="K72" s="51">
        <f t="shared" ref="K72" si="18">O$13</f>
        <v>0</v>
      </c>
    </row>
    <row r="73" spans="1:11" ht="15.75" thickTop="1" x14ac:dyDescent="0.25">
      <c r="A73" s="27">
        <f>F$14</f>
        <v>100000</v>
      </c>
      <c r="B73" s="9">
        <v>575.92999999999995</v>
      </c>
      <c r="C73" s="9">
        <v>531.02</v>
      </c>
      <c r="D73" s="9">
        <v>479.07</v>
      </c>
      <c r="E73" s="9">
        <v>442.81</v>
      </c>
      <c r="F73" s="9">
        <v>410.64</v>
      </c>
      <c r="G73" s="9">
        <v>393.81</v>
      </c>
      <c r="H73" s="9">
        <v>392.92</v>
      </c>
      <c r="I73" s="9">
        <v>415.13</v>
      </c>
      <c r="J73" s="9">
        <v>458.36</v>
      </c>
      <c r="K73" s="28"/>
    </row>
    <row r="74" spans="1:11" x14ac:dyDescent="0.25">
      <c r="A74" s="27">
        <f>G$14</f>
        <v>200000</v>
      </c>
      <c r="B74" s="9">
        <v>1350</v>
      </c>
      <c r="C74" s="9">
        <v>1309.1199999999999</v>
      </c>
      <c r="D74" s="9">
        <v>1290</v>
      </c>
      <c r="E74" s="9">
        <v>1240</v>
      </c>
      <c r="F74" s="9">
        <v>1215</v>
      </c>
      <c r="G74" s="9">
        <v>1205</v>
      </c>
      <c r="H74" s="9">
        <v>1200</v>
      </c>
      <c r="I74" s="9">
        <v>1280</v>
      </c>
      <c r="J74" s="9">
        <v>1370</v>
      </c>
      <c r="K74" s="28"/>
    </row>
    <row r="75" spans="1:11" x14ac:dyDescent="0.25">
      <c r="A75" s="27">
        <f>H$14</f>
        <v>0</v>
      </c>
      <c r="B75" s="9"/>
      <c r="C75" s="9"/>
      <c r="D75" s="9"/>
      <c r="E75" s="9"/>
      <c r="F75" s="9"/>
      <c r="G75" s="9"/>
      <c r="H75" s="9"/>
      <c r="I75" s="9"/>
      <c r="J75" s="9"/>
      <c r="K75" s="28"/>
    </row>
    <row r="76" spans="1:11" x14ac:dyDescent="0.25">
      <c r="A76" s="27">
        <f>I$14</f>
        <v>0</v>
      </c>
      <c r="B76" s="9"/>
      <c r="C76" s="9"/>
      <c r="D76" s="9"/>
      <c r="E76" s="9"/>
      <c r="F76" s="9"/>
      <c r="G76" s="9"/>
      <c r="H76" s="9"/>
      <c r="I76" s="9"/>
      <c r="J76" s="9"/>
      <c r="K76" s="28"/>
    </row>
    <row r="77" spans="1:11" x14ac:dyDescent="0.25">
      <c r="A77" s="27">
        <f>J$14</f>
        <v>0</v>
      </c>
      <c r="B77" s="9"/>
      <c r="C77" s="9"/>
      <c r="D77" s="9"/>
      <c r="E77" s="9"/>
      <c r="F77" s="9"/>
      <c r="G77" s="9"/>
      <c r="H77" s="9"/>
      <c r="I77" s="9"/>
      <c r="J77" s="9"/>
      <c r="K77" s="28"/>
    </row>
    <row r="78" spans="1:11" x14ac:dyDescent="0.25">
      <c r="A78" s="27">
        <f>K$14</f>
        <v>0</v>
      </c>
      <c r="B78" s="9"/>
      <c r="C78" s="9"/>
      <c r="D78" s="9"/>
      <c r="E78" s="9"/>
      <c r="F78" s="9"/>
      <c r="G78" s="9"/>
      <c r="H78" s="9"/>
      <c r="I78" s="9"/>
      <c r="J78" s="9"/>
      <c r="K78" s="28"/>
    </row>
    <row r="79" spans="1:11" x14ac:dyDescent="0.25">
      <c r="A79" s="27">
        <f>L$14</f>
        <v>0</v>
      </c>
      <c r="B79" s="9"/>
      <c r="C79" s="9"/>
      <c r="D79" s="9"/>
      <c r="E79" s="9"/>
      <c r="F79" s="9"/>
      <c r="G79" s="9"/>
      <c r="H79" s="9"/>
      <c r="I79" s="9"/>
      <c r="J79" s="9"/>
      <c r="K79" s="28"/>
    </row>
    <row r="80" spans="1:11" x14ac:dyDescent="0.25">
      <c r="A80" s="27">
        <f>M$14</f>
        <v>0</v>
      </c>
      <c r="B80" s="9"/>
      <c r="C80" s="9"/>
      <c r="D80" s="9"/>
      <c r="E80" s="9"/>
      <c r="F80" s="9"/>
      <c r="G80" s="9"/>
      <c r="H80" s="9"/>
      <c r="I80" s="9"/>
      <c r="J80" s="9"/>
      <c r="K80" s="28"/>
    </row>
    <row r="81" spans="1:11" x14ac:dyDescent="0.25">
      <c r="A81" s="27">
        <f>N$14</f>
        <v>0</v>
      </c>
      <c r="B81" s="9"/>
      <c r="C81" s="9"/>
      <c r="D81" s="9"/>
      <c r="E81" s="9"/>
      <c r="F81" s="9"/>
      <c r="G81" s="9"/>
      <c r="H81" s="9"/>
      <c r="I81" s="9"/>
      <c r="J81" s="9"/>
      <c r="K81" s="28"/>
    </row>
    <row r="82" spans="1:11" ht="15.75" thickBot="1" x14ac:dyDescent="0.3">
      <c r="A82" s="29">
        <f>O$14</f>
        <v>0</v>
      </c>
      <c r="B82" s="20"/>
      <c r="C82" s="20"/>
      <c r="D82" s="20"/>
      <c r="E82" s="20"/>
      <c r="F82" s="20"/>
      <c r="G82" s="20"/>
      <c r="H82" s="20"/>
      <c r="I82" s="20"/>
      <c r="J82" s="20"/>
      <c r="K82" s="30"/>
    </row>
    <row r="89" spans="1:11" ht="15.75" thickBot="1" x14ac:dyDescent="0.3"/>
    <row r="90" spans="1:11" x14ac:dyDescent="0.25">
      <c r="A90" s="61"/>
      <c r="B90" s="62"/>
      <c r="C90" s="62"/>
      <c r="D90" s="62"/>
      <c r="E90" s="62"/>
      <c r="F90" s="62"/>
      <c r="G90" s="62"/>
      <c r="H90" s="62"/>
      <c r="I90" s="62"/>
      <c r="J90" s="62"/>
      <c r="K90" s="63"/>
    </row>
    <row r="91" spans="1:11" x14ac:dyDescent="0.25">
      <c r="A91" s="23" t="s">
        <v>21</v>
      </c>
      <c r="B91" s="58" t="s">
        <v>20</v>
      </c>
      <c r="C91" s="59"/>
      <c r="D91" s="59"/>
      <c r="E91" s="59"/>
      <c r="F91" s="59"/>
      <c r="G91" s="59"/>
      <c r="H91" s="59"/>
      <c r="I91" s="59"/>
      <c r="J91" s="59"/>
      <c r="K91" s="60"/>
    </row>
    <row r="92" spans="1:11" ht="15.75" thickBot="1" x14ac:dyDescent="0.3">
      <c r="A92" s="24"/>
      <c r="B92" s="25">
        <f>F$8</f>
        <v>0</v>
      </c>
      <c r="C92" s="25">
        <f t="shared" ref="C92" si="19">G$8</f>
        <v>0</v>
      </c>
      <c r="D92" s="25">
        <f t="shared" ref="D92" si="20">H$8</f>
        <v>0</v>
      </c>
      <c r="E92" s="25">
        <f t="shared" ref="E92" si="21">I$8</f>
        <v>0</v>
      </c>
      <c r="F92" s="25">
        <f t="shared" ref="F92" si="22">J$8</f>
        <v>0</v>
      </c>
      <c r="G92" s="25">
        <f t="shared" ref="G92" si="23">K$8</f>
        <v>0</v>
      </c>
      <c r="H92" s="25">
        <f t="shared" ref="H92" si="24">L$8</f>
        <v>0</v>
      </c>
      <c r="I92" s="25">
        <f t="shared" ref="I92" si="25">M$8</f>
        <v>0</v>
      </c>
      <c r="J92" s="25">
        <f t="shared" ref="J92" si="26">N$8</f>
        <v>0</v>
      </c>
      <c r="K92" s="26">
        <f>O$8</f>
        <v>0</v>
      </c>
    </row>
    <row r="93" spans="1:11" ht="15.75" thickTop="1" x14ac:dyDescent="0.25">
      <c r="A93" s="27">
        <f>F$10</f>
        <v>0</v>
      </c>
      <c r="B93" s="9"/>
      <c r="C93" s="9"/>
      <c r="D93" s="9"/>
      <c r="E93" s="9"/>
      <c r="F93" s="9"/>
      <c r="G93" s="9"/>
      <c r="H93" s="9"/>
      <c r="I93" s="9"/>
      <c r="J93" s="9"/>
      <c r="K93" s="28"/>
    </row>
    <row r="94" spans="1:11" x14ac:dyDescent="0.25">
      <c r="A94" s="27">
        <f>G$10</f>
        <v>0</v>
      </c>
      <c r="B94" s="9"/>
      <c r="C94" s="9"/>
      <c r="D94" s="9"/>
      <c r="E94" s="9"/>
      <c r="F94" s="9"/>
      <c r="G94" s="9"/>
      <c r="H94" s="9"/>
      <c r="I94" s="9"/>
      <c r="J94" s="9"/>
      <c r="K94" s="28"/>
    </row>
    <row r="95" spans="1:11" x14ac:dyDescent="0.25">
      <c r="A95" s="27">
        <f>H$10</f>
        <v>0</v>
      </c>
      <c r="B95" s="9"/>
      <c r="C95" s="9"/>
      <c r="D95" s="9"/>
      <c r="E95" s="9"/>
      <c r="F95" s="9"/>
      <c r="G95" s="9"/>
      <c r="H95" s="9"/>
      <c r="I95" s="9"/>
      <c r="J95" s="9"/>
      <c r="K95" s="28"/>
    </row>
    <row r="96" spans="1:11" x14ac:dyDescent="0.25">
      <c r="A96" s="27">
        <f>I$10</f>
        <v>0</v>
      </c>
      <c r="B96" s="9"/>
      <c r="C96" s="9"/>
      <c r="D96" s="9"/>
      <c r="E96" s="9"/>
      <c r="F96" s="9"/>
      <c r="G96" s="9"/>
      <c r="H96" s="9"/>
      <c r="I96" s="9"/>
      <c r="J96" s="9"/>
      <c r="K96" s="28"/>
    </row>
    <row r="97" spans="1:11" x14ac:dyDescent="0.25">
      <c r="A97" s="27">
        <f>J$10</f>
        <v>0</v>
      </c>
      <c r="B97" s="9"/>
      <c r="C97" s="9"/>
      <c r="D97" s="9"/>
      <c r="E97" s="9"/>
      <c r="F97" s="9"/>
      <c r="G97" s="9"/>
      <c r="H97" s="9"/>
      <c r="I97" s="9"/>
      <c r="J97" s="9"/>
      <c r="K97" s="28"/>
    </row>
    <row r="98" spans="1:11" x14ac:dyDescent="0.25">
      <c r="A98" s="27">
        <f>K$10</f>
        <v>0</v>
      </c>
      <c r="B98" s="9"/>
      <c r="C98" s="9"/>
      <c r="D98" s="9"/>
      <c r="E98" s="9"/>
      <c r="F98" s="9"/>
      <c r="G98" s="9"/>
      <c r="H98" s="9"/>
      <c r="I98" s="9"/>
      <c r="J98" s="9"/>
      <c r="K98" s="28"/>
    </row>
    <row r="99" spans="1:11" x14ac:dyDescent="0.25">
      <c r="A99" s="27">
        <f>L$10</f>
        <v>0</v>
      </c>
      <c r="B99" s="9"/>
      <c r="C99" s="9"/>
      <c r="D99" s="9"/>
      <c r="E99" s="9"/>
      <c r="F99" s="9"/>
      <c r="G99" s="9"/>
      <c r="H99" s="9"/>
      <c r="I99" s="9"/>
      <c r="J99" s="9"/>
      <c r="K99" s="28"/>
    </row>
    <row r="100" spans="1:11" x14ac:dyDescent="0.25">
      <c r="A100" s="27">
        <f>M$10</f>
        <v>0</v>
      </c>
      <c r="B100" s="9"/>
      <c r="C100" s="9"/>
      <c r="D100" s="9"/>
      <c r="E100" s="9"/>
      <c r="F100" s="9"/>
      <c r="G100" s="9"/>
      <c r="H100" s="9"/>
      <c r="I100" s="9"/>
      <c r="J100" s="9"/>
      <c r="K100" s="28"/>
    </row>
    <row r="101" spans="1:11" x14ac:dyDescent="0.25">
      <c r="A101" s="27">
        <f>N$10</f>
        <v>0</v>
      </c>
      <c r="B101" s="9"/>
      <c r="C101" s="9"/>
      <c r="D101" s="9"/>
      <c r="E101" s="9"/>
      <c r="F101" s="9"/>
      <c r="G101" s="9"/>
      <c r="H101" s="9"/>
      <c r="I101" s="9"/>
      <c r="J101" s="9"/>
      <c r="K101" s="28"/>
    </row>
    <row r="102" spans="1:11" ht="15.75" thickBot="1" x14ac:dyDescent="0.3">
      <c r="A102" s="29">
        <f>O$10</f>
        <v>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30"/>
    </row>
    <row r="105" spans="1:11" x14ac:dyDescent="0.25">
      <c r="B105" s="9"/>
      <c r="C105" s="9"/>
    </row>
    <row r="106" spans="1:11" x14ac:dyDescent="0.25">
      <c r="B106" s="9"/>
      <c r="C106" s="9"/>
    </row>
    <row r="107" spans="1:11" x14ac:dyDescent="0.25">
      <c r="B107" s="9"/>
      <c r="C107" s="9"/>
    </row>
    <row r="108" spans="1:11" x14ac:dyDescent="0.25">
      <c r="B108" s="9"/>
      <c r="C108" s="9"/>
    </row>
    <row r="109" spans="1:11" x14ac:dyDescent="0.25">
      <c r="B109" s="9"/>
      <c r="C109" s="9"/>
    </row>
  </sheetData>
  <mergeCells count="8">
    <mergeCell ref="B91:K91"/>
    <mergeCell ref="A90:K90"/>
    <mergeCell ref="A30:K30"/>
    <mergeCell ref="B31:K31"/>
    <mergeCell ref="A50:K50"/>
    <mergeCell ref="B51:K51"/>
    <mergeCell ref="A70:K70"/>
    <mergeCell ref="B71:K71"/>
  </mergeCell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7583-2F94-4C44-B797-F29E5519DCF0}">
  <dimension ref="A1:P148"/>
  <sheetViews>
    <sheetView zoomScale="115" zoomScaleNormal="115" workbookViewId="0">
      <selection activeCell="A8" sqref="A8"/>
    </sheetView>
  </sheetViews>
  <sheetFormatPr baseColWidth="10" defaultColWidth="9.140625" defaultRowHeight="15" x14ac:dyDescent="0.25"/>
  <cols>
    <col min="1" max="1" width="23.140625" bestFit="1" customWidth="1"/>
    <col min="2" max="2" width="85.85546875" customWidth="1"/>
    <col min="6" max="6" width="11.85546875" customWidth="1"/>
  </cols>
  <sheetData>
    <row r="1" spans="1:16" ht="15.75" thickBot="1" x14ac:dyDescent="0.3">
      <c r="A1" s="1" t="s">
        <v>0</v>
      </c>
      <c r="B1" s="2" t="s">
        <v>40</v>
      </c>
      <c r="C1" s="2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.75" thickTop="1" x14ac:dyDescent="0.25">
      <c r="A2" s="35" t="s">
        <v>23</v>
      </c>
      <c r="B2" t="s">
        <v>113</v>
      </c>
      <c r="C2" t="s">
        <v>17</v>
      </c>
      <c r="D2" s="7" t="s">
        <v>24</v>
      </c>
      <c r="E2" s="8">
        <v>4.63</v>
      </c>
      <c r="F2" s="9">
        <v>-18.39</v>
      </c>
      <c r="G2" s="9">
        <v>27.72</v>
      </c>
      <c r="H2" s="9">
        <v>0.38</v>
      </c>
      <c r="I2" s="9">
        <v>-21.58</v>
      </c>
      <c r="J2" s="9">
        <v>16.5</v>
      </c>
      <c r="K2" s="10"/>
      <c r="L2" s="10"/>
      <c r="M2" s="10"/>
      <c r="N2" s="10"/>
      <c r="O2" s="11"/>
      <c r="P2" s="12" t="s">
        <v>18</v>
      </c>
    </row>
    <row r="3" spans="1:16" x14ac:dyDescent="0.25">
      <c r="A3" s="35" t="s">
        <v>25</v>
      </c>
      <c r="B3" t="s">
        <v>114</v>
      </c>
      <c r="C3" t="s">
        <v>17</v>
      </c>
      <c r="D3" s="13" t="s">
        <v>26</v>
      </c>
      <c r="E3" s="8">
        <v>989</v>
      </c>
      <c r="F3" s="9">
        <v>-3.61</v>
      </c>
      <c r="G3" s="9">
        <v>2.2000000000000002</v>
      </c>
      <c r="H3" s="9">
        <v>987.4</v>
      </c>
      <c r="I3" s="9">
        <v>-3.07</v>
      </c>
      <c r="J3" s="9">
        <v>5.6</v>
      </c>
      <c r="K3" s="10"/>
      <c r="L3" s="10"/>
      <c r="M3" s="10"/>
      <c r="N3" s="10"/>
      <c r="O3" s="14"/>
      <c r="P3" s="12" t="s">
        <v>19</v>
      </c>
    </row>
    <row r="4" spans="1:16" x14ac:dyDescent="0.25">
      <c r="A4" s="35" t="s">
        <v>123</v>
      </c>
      <c r="B4" t="s">
        <v>115</v>
      </c>
      <c r="C4" t="s">
        <v>17</v>
      </c>
      <c r="D4" s="13" t="s">
        <v>119</v>
      </c>
      <c r="E4" s="8">
        <v>9.7200000000000006</v>
      </c>
      <c r="F4" s="9">
        <v>-82.22</v>
      </c>
      <c r="G4" s="53">
        <v>-82.23</v>
      </c>
      <c r="H4" s="53">
        <v>90.31</v>
      </c>
      <c r="I4" s="53">
        <v>0.33</v>
      </c>
      <c r="J4" s="53">
        <v>83.53</v>
      </c>
      <c r="K4" s="10"/>
      <c r="L4" s="10"/>
      <c r="M4" s="10"/>
      <c r="N4" s="10"/>
      <c r="O4" s="14"/>
      <c r="P4" s="12" t="s">
        <v>18</v>
      </c>
    </row>
    <row r="5" spans="1:16" x14ac:dyDescent="0.25">
      <c r="A5" s="35" t="s">
        <v>124</v>
      </c>
      <c r="B5" t="s">
        <v>116</v>
      </c>
      <c r="C5" t="s">
        <v>17</v>
      </c>
      <c r="D5" s="13" t="s">
        <v>120</v>
      </c>
      <c r="E5" s="8">
        <v>1610</v>
      </c>
      <c r="F5" s="9">
        <v>-1.21</v>
      </c>
      <c r="G5" s="9">
        <v>-1.21</v>
      </c>
      <c r="H5" s="9">
        <v>1</v>
      </c>
      <c r="I5" s="9">
        <v>1615</v>
      </c>
      <c r="J5" s="53">
        <v>1.3</v>
      </c>
      <c r="K5" s="10"/>
      <c r="L5" s="10"/>
      <c r="M5" s="10"/>
      <c r="N5" s="10"/>
      <c r="O5" s="14"/>
      <c r="P5" s="12" t="s">
        <v>19</v>
      </c>
    </row>
    <row r="6" spans="1:16" x14ac:dyDescent="0.25">
      <c r="A6" s="35" t="s">
        <v>125</v>
      </c>
      <c r="B6" t="s">
        <v>117</v>
      </c>
      <c r="C6" t="s">
        <v>17</v>
      </c>
      <c r="D6" s="13" t="s">
        <v>121</v>
      </c>
      <c r="E6" s="8">
        <v>1.51</v>
      </c>
      <c r="F6" s="9">
        <v>0.94</v>
      </c>
      <c r="G6" s="53">
        <v>4.7</v>
      </c>
      <c r="H6" s="53">
        <v>-1.51</v>
      </c>
      <c r="I6" s="53">
        <v>0.63</v>
      </c>
      <c r="J6" s="53">
        <v>-3.25</v>
      </c>
      <c r="K6" s="10"/>
      <c r="L6" s="10"/>
      <c r="M6" s="10"/>
      <c r="N6" s="10"/>
      <c r="O6" s="14"/>
      <c r="P6" s="12" t="s">
        <v>18</v>
      </c>
    </row>
    <row r="7" spans="1:16" x14ac:dyDescent="0.25">
      <c r="A7" s="35" t="s">
        <v>126</v>
      </c>
      <c r="B7" t="s">
        <v>118</v>
      </c>
      <c r="C7" t="s">
        <v>17</v>
      </c>
      <c r="D7" s="13" t="s">
        <v>122</v>
      </c>
      <c r="E7" s="8">
        <v>289</v>
      </c>
      <c r="F7" s="9">
        <v>26.67</v>
      </c>
      <c r="G7" s="53">
        <v>25.98</v>
      </c>
      <c r="H7" s="53">
        <v>-67.31</v>
      </c>
      <c r="I7" s="53">
        <v>348.3</v>
      </c>
      <c r="J7" s="53">
        <v>-45.12</v>
      </c>
      <c r="K7" s="10"/>
      <c r="L7" s="10"/>
      <c r="M7" s="10"/>
      <c r="N7" s="10"/>
      <c r="O7" s="14"/>
      <c r="P7" s="12" t="s">
        <v>19</v>
      </c>
    </row>
    <row r="8" spans="1:16" x14ac:dyDescent="0.25">
      <c r="A8" s="6"/>
      <c r="D8" s="13"/>
      <c r="E8" s="8"/>
      <c r="F8" s="9"/>
      <c r="G8" s="10"/>
      <c r="H8" s="10"/>
      <c r="I8" s="10"/>
      <c r="J8" s="10"/>
      <c r="K8" s="10"/>
      <c r="L8" s="10"/>
      <c r="M8" s="10"/>
      <c r="N8" s="10"/>
      <c r="O8" s="14"/>
      <c r="P8" s="12"/>
    </row>
    <row r="9" spans="1:16" x14ac:dyDescent="0.25">
      <c r="A9" s="6"/>
      <c r="D9" s="13"/>
      <c r="E9" s="8"/>
      <c r="F9" s="9"/>
      <c r="G9" s="10"/>
      <c r="H9" s="10"/>
      <c r="I9" s="10"/>
      <c r="J9" s="10"/>
      <c r="K9" s="10"/>
      <c r="L9" s="10"/>
      <c r="M9" s="10"/>
      <c r="N9" s="10"/>
      <c r="O9" s="14"/>
      <c r="P9" s="12"/>
    </row>
    <row r="10" spans="1:16" x14ac:dyDescent="0.25">
      <c r="A10" s="6"/>
      <c r="D10" s="13"/>
      <c r="E10" s="8"/>
      <c r="F10" s="9"/>
      <c r="G10" s="9"/>
      <c r="H10" s="9"/>
      <c r="I10" s="9"/>
      <c r="J10" s="9"/>
      <c r="K10" s="9"/>
      <c r="L10" s="9"/>
      <c r="M10" s="10"/>
      <c r="N10" s="10"/>
      <c r="O10" s="14"/>
      <c r="P10" s="12"/>
    </row>
    <row r="11" spans="1:16" x14ac:dyDescent="0.25">
      <c r="A11" s="6"/>
      <c r="D11" s="13"/>
      <c r="E11" s="8"/>
      <c r="F11" s="9"/>
      <c r="G11" s="10"/>
      <c r="H11" s="10"/>
      <c r="I11" s="10"/>
      <c r="J11" s="10"/>
      <c r="K11" s="10"/>
      <c r="L11" s="10"/>
      <c r="M11" s="10"/>
      <c r="N11" s="10"/>
      <c r="O11" s="14"/>
      <c r="P11" s="12"/>
    </row>
    <row r="12" spans="1:16" x14ac:dyDescent="0.25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25">
      <c r="A13" s="6"/>
      <c r="D13" s="13"/>
      <c r="E13" s="8"/>
      <c r="F13" s="9"/>
      <c r="G13" s="9"/>
      <c r="H13" s="9"/>
      <c r="I13" s="9"/>
      <c r="J13" s="9"/>
      <c r="K13" s="9"/>
      <c r="L13" s="9"/>
      <c r="M13" s="9"/>
      <c r="N13" s="9"/>
      <c r="O13" s="15"/>
      <c r="P13" s="12"/>
    </row>
    <row r="14" spans="1:16" x14ac:dyDescent="0.25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25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25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25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25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25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25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25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25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25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ht="15.75" thickBot="1" x14ac:dyDescent="0.3">
      <c r="A24" s="16"/>
      <c r="B24" s="17"/>
      <c r="C24" s="17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2"/>
    </row>
    <row r="29" spans="1:16" x14ac:dyDescent="0.25">
      <c r="A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25">
      <c r="A30" s="9"/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25">
      <c r="A31" s="9"/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25">
      <c r="A32" s="9"/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25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25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25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25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25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25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25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25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25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25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25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25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25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25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4:16" x14ac:dyDescent="0.25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4:16" x14ac:dyDescent="0.25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99" spans="4:16" x14ac:dyDescent="0.25">
      <c r="D99" t="s">
        <v>27</v>
      </c>
      <c r="E99" t="s">
        <v>38</v>
      </c>
      <c r="F99" t="s">
        <v>28</v>
      </c>
      <c r="G99" t="s">
        <v>29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37</v>
      </c>
      <c r="P99" t="s">
        <v>39</v>
      </c>
    </row>
    <row r="100" spans="4:16" x14ac:dyDescent="0.25">
      <c r="D100" s="9">
        <v>1E-3</v>
      </c>
      <c r="E100" s="9">
        <f>IFERROR(E$2*(1-EXP(-$D100/(E$2*E$3))),"")</f>
        <v>1.0111222352848782E-6</v>
      </c>
      <c r="F100" s="9">
        <f t="shared" ref="F100:O100" si="0">IFERROR(F$2*(1-EXP(-$D100/(F$2*F$3))),"")</f>
        <v>-2.7700622397390908E-4</v>
      </c>
      <c r="G100" s="9">
        <f t="shared" si="0"/>
        <v>4.5454172780639012E-4</v>
      </c>
      <c r="H100" s="9">
        <f t="shared" si="0"/>
        <v>1.0127594363096294E-6</v>
      </c>
      <c r="I100" s="9">
        <f t="shared" si="0"/>
        <v>-3.2573044069476474E-4</v>
      </c>
      <c r="J100" s="9">
        <f t="shared" si="0"/>
        <v>1.7857046227948148E-4</v>
      </c>
      <c r="K100" s="9" t="str">
        <f t="shared" si="0"/>
        <v/>
      </c>
      <c r="L100" s="9" t="str">
        <f t="shared" si="0"/>
        <v/>
      </c>
      <c r="M100" s="9" t="str">
        <f t="shared" si="0"/>
        <v/>
      </c>
      <c r="N100" s="9" t="str">
        <f t="shared" si="0"/>
        <v/>
      </c>
      <c r="O100" s="9" t="str">
        <f t="shared" si="0"/>
        <v/>
      </c>
      <c r="P100" s="9">
        <f>SUM(F100:O100)</f>
        <v>3.1388284853507405E-5</v>
      </c>
    </row>
    <row r="101" spans="4:16" x14ac:dyDescent="0.25">
      <c r="D101" s="9">
        <v>2E-3</v>
      </c>
      <c r="E101" s="9">
        <f t="shared" ref="E101:O121" si="1">IFERROR(E$2*(1-EXP(-$D101/(E$2*E$3))),"")</f>
        <v>2.0222442500494876E-6</v>
      </c>
      <c r="F101" s="9">
        <f t="shared" si="1"/>
        <v>-5.540082754375309E-4</v>
      </c>
      <c r="G101" s="9">
        <f t="shared" si="1"/>
        <v>9.09076002215281E-4</v>
      </c>
      <c r="H101" s="9">
        <f t="shared" si="1"/>
        <v>2.025516173485009E-6</v>
      </c>
      <c r="I101" s="9">
        <f t="shared" si="1"/>
        <v>-6.5145596478747734E-4</v>
      </c>
      <c r="J101" s="9">
        <f t="shared" si="1"/>
        <v>3.5713899198769328E-4</v>
      </c>
      <c r="K101" s="9" t="str">
        <f t="shared" si="1"/>
        <v/>
      </c>
      <c r="L101" s="9" t="str">
        <f t="shared" si="1"/>
        <v/>
      </c>
      <c r="M101" s="9" t="str">
        <f t="shared" si="1"/>
        <v/>
      </c>
      <c r="N101" s="9" t="str">
        <f t="shared" si="1"/>
        <v/>
      </c>
      <c r="O101" s="9" t="str">
        <f t="shared" si="1"/>
        <v/>
      </c>
      <c r="P101" s="9">
        <f t="shared" ref="P101:P121" si="2">SUM(F101:O101)</f>
        <v>6.2776270151451024E-5</v>
      </c>
    </row>
    <row r="102" spans="4:16" x14ac:dyDescent="0.25">
      <c r="D102" s="9">
        <v>5.0000000000000001E-3</v>
      </c>
      <c r="E102" s="9">
        <f t="shared" si="1"/>
        <v>5.0556089686515367E-6</v>
      </c>
      <c r="F102" s="9">
        <f t="shared" si="1"/>
        <v>-1.3849893954016412E-3</v>
      </c>
      <c r="G102" s="9">
        <f t="shared" si="1"/>
        <v>2.272634106275664E-3</v>
      </c>
      <c r="H102" s="9">
        <f t="shared" si="1"/>
        <v>5.0637701900368978E-6</v>
      </c>
      <c r="I102" s="9">
        <f t="shared" si="1"/>
        <v>-1.6286030381792481E-3</v>
      </c>
      <c r="J102" s="9">
        <f t="shared" si="1"/>
        <v>8.9283298590270288E-4</v>
      </c>
      <c r="K102" s="9" t="str">
        <f t="shared" si="1"/>
        <v/>
      </c>
      <c r="L102" s="9" t="str">
        <f t="shared" si="1"/>
        <v/>
      </c>
      <c r="M102" s="9" t="str">
        <f t="shared" si="1"/>
        <v/>
      </c>
      <c r="N102" s="9" t="str">
        <f t="shared" si="1"/>
        <v/>
      </c>
      <c r="O102" s="9" t="str">
        <f t="shared" si="1"/>
        <v/>
      </c>
      <c r="P102" s="9">
        <f t="shared" si="2"/>
        <v>1.5693842878751441E-4</v>
      </c>
    </row>
    <row r="103" spans="4:16" x14ac:dyDescent="0.25">
      <c r="D103" s="9">
        <v>0.01</v>
      </c>
      <c r="E103" s="9">
        <f t="shared" si="1"/>
        <v>1.0111212417099891E-5</v>
      </c>
      <c r="F103" s="9">
        <f t="shared" si="1"/>
        <v>-2.769874484354954E-3</v>
      </c>
      <c r="G103" s="9">
        <f t="shared" si="1"/>
        <v>4.5450818898316748E-3</v>
      </c>
      <c r="H103" s="9">
        <f t="shared" si="1"/>
        <v>1.0127472901759749E-5</v>
      </c>
      <c r="I103" s="9">
        <f t="shared" si="1"/>
        <v>-3.2570831686720698E-3</v>
      </c>
      <c r="J103" s="9">
        <f t="shared" si="1"/>
        <v>1.7856176596394713E-3</v>
      </c>
      <c r="K103" s="9" t="str">
        <f t="shared" si="1"/>
        <v/>
      </c>
      <c r="L103" s="9" t="str">
        <f t="shared" si="1"/>
        <v/>
      </c>
      <c r="M103" s="9" t="str">
        <f t="shared" si="1"/>
        <v/>
      </c>
      <c r="N103" s="9" t="str">
        <f t="shared" si="1"/>
        <v/>
      </c>
      <c r="O103" s="9" t="str">
        <f t="shared" si="1"/>
        <v/>
      </c>
      <c r="P103" s="9">
        <f t="shared" si="2"/>
        <v>3.1386936934588204E-4</v>
      </c>
    </row>
    <row r="104" spans="4:16" x14ac:dyDescent="0.25">
      <c r="D104" s="9">
        <v>0.02</v>
      </c>
      <c r="E104" s="9">
        <f t="shared" si="1"/>
        <v>2.0222402753387048E-5</v>
      </c>
      <c r="F104" s="9">
        <f t="shared" si="1"/>
        <v>-5.53933177432815E-3</v>
      </c>
      <c r="G104" s="9">
        <f t="shared" si="1"/>
        <v>9.0894185498861801E-3</v>
      </c>
      <c r="H104" s="9">
        <f t="shared" si="1"/>
        <v>2.0254675893722761E-5</v>
      </c>
      <c r="I104" s="9">
        <f t="shared" si="1"/>
        <v>-6.5136747437055352E-3</v>
      </c>
      <c r="J104" s="9">
        <f t="shared" si="1"/>
        <v>3.5710420810715071E-3</v>
      </c>
      <c r="K104" s="9" t="str">
        <f t="shared" si="1"/>
        <v/>
      </c>
      <c r="L104" s="9" t="str">
        <f t="shared" si="1"/>
        <v/>
      </c>
      <c r="M104" s="9" t="str">
        <f t="shared" si="1"/>
        <v/>
      </c>
      <c r="N104" s="9" t="str">
        <f t="shared" si="1"/>
        <v/>
      </c>
      <c r="O104" s="9" t="str">
        <f t="shared" si="1"/>
        <v/>
      </c>
      <c r="P104" s="9">
        <f t="shared" si="2"/>
        <v>6.2770878881772494E-4</v>
      </c>
    </row>
    <row r="105" spans="4:16" x14ac:dyDescent="0.25">
      <c r="D105" s="9">
        <v>0.05</v>
      </c>
      <c r="E105" s="9">
        <f t="shared" si="1"/>
        <v>5.0555841273773883E-5</v>
      </c>
      <c r="F105" s="9">
        <f t="shared" si="1"/>
        <v>-1.3845201106292454E-2</v>
      </c>
      <c r="G105" s="9">
        <f t="shared" si="1"/>
        <v>2.2717958373206296E-2</v>
      </c>
      <c r="H105" s="9">
        <f t="shared" si="1"/>
        <v>5.063466548310025E-5</v>
      </c>
      <c r="I105" s="9">
        <f t="shared" si="1"/>
        <v>-1.6280500648864726E-2</v>
      </c>
      <c r="J105" s="9">
        <f t="shared" si="1"/>
        <v>8.9261561252289012E-3</v>
      </c>
      <c r="K105" s="9" t="str">
        <f t="shared" si="1"/>
        <v/>
      </c>
      <c r="L105" s="9" t="str">
        <f t="shared" si="1"/>
        <v/>
      </c>
      <c r="M105" s="9" t="str">
        <f t="shared" si="1"/>
        <v/>
      </c>
      <c r="N105" s="9" t="str">
        <f t="shared" si="1"/>
        <v/>
      </c>
      <c r="O105" s="9" t="str">
        <f t="shared" si="1"/>
        <v/>
      </c>
      <c r="P105" s="9">
        <f t="shared" si="2"/>
        <v>1.5690474087611175E-3</v>
      </c>
    </row>
    <row r="106" spans="4:16" x14ac:dyDescent="0.25">
      <c r="D106" s="9">
        <v>0.1</v>
      </c>
      <c r="E106" s="9">
        <f t="shared" si="1"/>
        <v>1.0111113051900488E-4</v>
      </c>
      <c r="F106" s="9">
        <f t="shared" si="1"/>
        <v>-2.7679978634897004E-2</v>
      </c>
      <c r="G106" s="9">
        <f t="shared" si="1"/>
        <v>4.5417298217098827E-2</v>
      </c>
      <c r="H106" s="9">
        <f t="shared" si="1"/>
        <v>1.0126258394160814E-4</v>
      </c>
      <c r="I106" s="9">
        <f t="shared" si="1"/>
        <v>-3.2548718874125658E-2</v>
      </c>
      <c r="J106" s="9">
        <f t="shared" si="1"/>
        <v>1.7847483386023155E-2</v>
      </c>
      <c r="K106" s="9" t="str">
        <f t="shared" si="1"/>
        <v/>
      </c>
      <c r="L106" s="9" t="str">
        <f t="shared" si="1"/>
        <v/>
      </c>
      <c r="M106" s="9" t="str">
        <f t="shared" si="1"/>
        <v/>
      </c>
      <c r="N106" s="9" t="str">
        <f t="shared" si="1"/>
        <v/>
      </c>
      <c r="O106" s="9" t="str">
        <f t="shared" si="1"/>
        <v/>
      </c>
      <c r="P106" s="9">
        <f t="shared" si="2"/>
        <v>3.1373466780409281E-3</v>
      </c>
    </row>
    <row r="107" spans="4:16" x14ac:dyDescent="0.25">
      <c r="D107" s="9">
        <v>0.2</v>
      </c>
      <c r="E107" s="9">
        <f t="shared" si="1"/>
        <v>2.0222005294696975E-4</v>
      </c>
      <c r="F107" s="9">
        <f t="shared" si="1"/>
        <v>-5.5318294343354633E-2</v>
      </c>
      <c r="G107" s="9">
        <f t="shared" si="1"/>
        <v>9.0760183339773856E-2</v>
      </c>
      <c r="H107" s="9">
        <f t="shared" si="1"/>
        <v>2.024981833808659E-4</v>
      </c>
      <c r="I107" s="9">
        <f t="shared" si="1"/>
        <v>-6.5048345111535483E-2</v>
      </c>
      <c r="J107" s="9">
        <f t="shared" si="1"/>
        <v>3.5675661762154309E-2</v>
      </c>
      <c r="K107" s="9" t="str">
        <f t="shared" si="1"/>
        <v/>
      </c>
      <c r="L107" s="9" t="str">
        <f t="shared" si="1"/>
        <v/>
      </c>
      <c r="M107" s="9" t="str">
        <f t="shared" si="1"/>
        <v/>
      </c>
      <c r="N107" s="9" t="str">
        <f t="shared" si="1"/>
        <v/>
      </c>
      <c r="O107" s="9" t="str">
        <f t="shared" si="1"/>
        <v/>
      </c>
      <c r="P107" s="9">
        <f t="shared" si="2"/>
        <v>6.2717038304189177E-3</v>
      </c>
    </row>
    <row r="108" spans="4:16" x14ac:dyDescent="0.25">
      <c r="D108" s="9">
        <v>0.5</v>
      </c>
      <c r="E108" s="9">
        <f t="shared" si="1"/>
        <v>5.0553357216781558E-4</v>
      </c>
      <c r="F108" s="9">
        <f t="shared" si="1"/>
        <v>-0.13798389053394361</v>
      </c>
      <c r="G108" s="9">
        <f t="shared" si="1"/>
        <v>0.22634357834977992</v>
      </c>
      <c r="H108" s="9">
        <f t="shared" si="1"/>
        <v>5.060431465830639E-4</v>
      </c>
      <c r="I108" s="9">
        <f t="shared" si="1"/>
        <v>-0.16225340790047316</v>
      </c>
      <c r="J108" s="9">
        <f t="shared" si="1"/>
        <v>8.9044575533950343E-2</v>
      </c>
      <c r="K108" s="9" t="str">
        <f t="shared" si="1"/>
        <v/>
      </c>
      <c r="L108" s="9" t="str">
        <f t="shared" si="1"/>
        <v/>
      </c>
      <c r="M108" s="9" t="str">
        <f t="shared" si="1"/>
        <v/>
      </c>
      <c r="N108" s="9" t="str">
        <f t="shared" si="1"/>
        <v/>
      </c>
      <c r="O108" s="9" t="str">
        <f t="shared" si="1"/>
        <v/>
      </c>
      <c r="P108" s="9">
        <f t="shared" si="2"/>
        <v>1.5656898595896557E-2</v>
      </c>
    </row>
    <row r="109" spans="4:16" x14ac:dyDescent="0.25">
      <c r="D109" s="9">
        <v>1</v>
      </c>
      <c r="E109" s="9">
        <f t="shared" si="1"/>
        <v>1.0110119468858892E-3</v>
      </c>
      <c r="F109" s="9">
        <f t="shared" si="1"/>
        <v>-0.27493246002129346</v>
      </c>
      <c r="G109" s="9">
        <f t="shared" si="1"/>
        <v>0.45083898153865909</v>
      </c>
      <c r="H109" s="9">
        <f t="shared" si="1"/>
        <v>1.0114123993077407E-3</v>
      </c>
      <c r="I109" s="9">
        <f t="shared" si="1"/>
        <v>-0.32328688214129597</v>
      </c>
      <c r="J109" s="9">
        <f t="shared" si="1"/>
        <v>0.17760860946596124</v>
      </c>
      <c r="K109" s="9" t="str">
        <f t="shared" si="1"/>
        <v/>
      </c>
      <c r="L109" s="9" t="str">
        <f t="shared" si="1"/>
        <v/>
      </c>
      <c r="M109" s="9" t="str">
        <f t="shared" si="1"/>
        <v/>
      </c>
      <c r="N109" s="9" t="str">
        <f t="shared" si="1"/>
        <v/>
      </c>
      <c r="O109" s="9" t="str">
        <f t="shared" si="1"/>
        <v/>
      </c>
      <c r="P109" s="9">
        <f t="shared" si="2"/>
        <v>3.1239661241338645E-2</v>
      </c>
    </row>
    <row r="110" spans="4:16" x14ac:dyDescent="0.25">
      <c r="D110" s="9">
        <v>2</v>
      </c>
      <c r="E110" s="9">
        <f t="shared" si="1"/>
        <v>2.0218031280794281E-3</v>
      </c>
      <c r="F110" s="9">
        <f t="shared" si="1"/>
        <v>-0.54575465046273985</v>
      </c>
      <c r="G110" s="9">
        <f t="shared" si="1"/>
        <v>0.89434550321891504</v>
      </c>
      <c r="H110" s="9">
        <f t="shared" si="1"/>
        <v>2.0201328116642102E-3</v>
      </c>
      <c r="I110" s="9">
        <f t="shared" si="1"/>
        <v>-0.64173064990980788</v>
      </c>
      <c r="J110" s="9">
        <f t="shared" si="1"/>
        <v>0.35330541177092761</v>
      </c>
      <c r="K110" s="9" t="str">
        <f t="shared" si="1"/>
        <v/>
      </c>
      <c r="L110" s="9" t="str">
        <f t="shared" si="1"/>
        <v/>
      </c>
      <c r="M110" s="9" t="str">
        <f t="shared" si="1"/>
        <v/>
      </c>
      <c r="N110" s="9" t="str">
        <f t="shared" si="1"/>
        <v/>
      </c>
      <c r="O110" s="9" t="str">
        <f t="shared" si="1"/>
        <v/>
      </c>
      <c r="P110" s="9">
        <f t="shared" si="2"/>
        <v>6.2185747428959104E-2</v>
      </c>
    </row>
    <row r="111" spans="4:16" x14ac:dyDescent="0.25">
      <c r="D111" s="9">
        <v>5</v>
      </c>
      <c r="E111" s="9">
        <f t="shared" si="1"/>
        <v>5.0528525595180153E-3</v>
      </c>
      <c r="F111" s="9">
        <f t="shared" si="1"/>
        <v>-1.3341695143820205</v>
      </c>
      <c r="G111" s="9">
        <f t="shared" si="1"/>
        <v>2.1820531964449663</v>
      </c>
      <c r="H111" s="9">
        <f t="shared" si="1"/>
        <v>5.0302136819607782E-3</v>
      </c>
      <c r="I111" s="9">
        <f t="shared" si="1"/>
        <v>-1.5687233886680669</v>
      </c>
      <c r="J111" s="9">
        <f t="shared" si="1"/>
        <v>0.86912966047283702</v>
      </c>
      <c r="K111" s="9" t="str">
        <f t="shared" si="1"/>
        <v/>
      </c>
      <c r="L111" s="9" t="str">
        <f t="shared" si="1"/>
        <v/>
      </c>
      <c r="M111" s="9" t="str">
        <f t="shared" si="1"/>
        <v/>
      </c>
      <c r="N111" s="9" t="str">
        <f t="shared" si="1"/>
        <v/>
      </c>
      <c r="O111" s="9" t="str">
        <f t="shared" si="1"/>
        <v/>
      </c>
      <c r="P111" s="9">
        <f t="shared" si="2"/>
        <v>0.1533201675496767</v>
      </c>
    </row>
    <row r="112" spans="4:16" x14ac:dyDescent="0.25">
      <c r="D112" s="9">
        <v>10</v>
      </c>
      <c r="E112" s="9">
        <f t="shared" si="1"/>
        <v>1.0100190795280196E-2</v>
      </c>
      <c r="F112" s="9">
        <f t="shared" si="1"/>
        <v>-2.5715468431682633</v>
      </c>
      <c r="G112" s="9">
        <f t="shared" si="1"/>
        <v>4.1923402979362638</v>
      </c>
      <c r="H112" s="9">
        <f t="shared" si="1"/>
        <v>9.9938403910631683E-3</v>
      </c>
      <c r="I112" s="9">
        <f t="shared" si="1"/>
        <v>-3.0234109538813492</v>
      </c>
      <c r="J112" s="9">
        <f t="shared" si="1"/>
        <v>1.6924783290236345</v>
      </c>
      <c r="K112" s="9" t="str">
        <f t="shared" si="1"/>
        <v/>
      </c>
      <c r="L112" s="9" t="str">
        <f t="shared" si="1"/>
        <v/>
      </c>
      <c r="M112" s="9" t="str">
        <f t="shared" si="1"/>
        <v/>
      </c>
      <c r="N112" s="9" t="str">
        <f t="shared" si="1"/>
        <v/>
      </c>
      <c r="O112" s="9" t="str">
        <f t="shared" si="1"/>
        <v/>
      </c>
      <c r="P112" s="9">
        <f t="shared" si="2"/>
        <v>0.29985467030134894</v>
      </c>
    </row>
    <row r="113" spans="4:16" x14ac:dyDescent="0.25">
      <c r="D113" s="9">
        <v>20</v>
      </c>
      <c r="E113" s="9">
        <f t="shared" si="1"/>
        <v>2.0178348360733039E-2</v>
      </c>
      <c r="F113" s="9">
        <f t="shared" si="1"/>
        <v>-4.7835040633561734</v>
      </c>
      <c r="G113" s="9">
        <f t="shared" si="1"/>
        <v>7.750635964786655</v>
      </c>
      <c r="H113" s="9">
        <f t="shared" si="1"/>
        <v>1.9724846977489358E-2</v>
      </c>
      <c r="I113" s="9">
        <f t="shared" si="1"/>
        <v>-5.6232346141552023</v>
      </c>
      <c r="J113" s="9">
        <f t="shared" si="1"/>
        <v>3.2113516341554735</v>
      </c>
      <c r="K113" s="9" t="str">
        <f t="shared" si="1"/>
        <v/>
      </c>
      <c r="L113" s="9" t="str">
        <f t="shared" si="1"/>
        <v/>
      </c>
      <c r="M113" s="9" t="str">
        <f t="shared" si="1"/>
        <v/>
      </c>
      <c r="N113" s="9" t="str">
        <f t="shared" si="1"/>
        <v/>
      </c>
      <c r="O113" s="9" t="str">
        <f t="shared" si="1"/>
        <v/>
      </c>
      <c r="P113" s="9">
        <f t="shared" si="2"/>
        <v>0.57497376840824233</v>
      </c>
    </row>
    <row r="114" spans="4:16" x14ac:dyDescent="0.25">
      <c r="D114" s="9">
        <v>50</v>
      </c>
      <c r="E114" s="9">
        <f t="shared" si="1"/>
        <v>5.0281101801667956E-2</v>
      </c>
      <c r="F114" s="9">
        <f t="shared" si="1"/>
        <v>-9.7304934130850729</v>
      </c>
      <c r="G114" s="9">
        <f t="shared" si="1"/>
        <v>15.509857109495533</v>
      </c>
      <c r="H114" s="9">
        <f t="shared" si="1"/>
        <v>4.7409083908162383E-2</v>
      </c>
      <c r="I114" s="9">
        <f t="shared" si="1"/>
        <v>-11.434230568637433</v>
      </c>
      <c r="J114" s="9">
        <f t="shared" si="1"/>
        <v>6.8954702150915272</v>
      </c>
      <c r="K114" s="9" t="str">
        <f t="shared" si="1"/>
        <v/>
      </c>
      <c r="L114" s="9" t="str">
        <f t="shared" si="1"/>
        <v/>
      </c>
      <c r="M114" s="9" t="str">
        <f t="shared" si="1"/>
        <v/>
      </c>
      <c r="N114" s="9" t="str">
        <f t="shared" si="1"/>
        <v/>
      </c>
      <c r="O114" s="9" t="str">
        <f t="shared" si="1"/>
        <v/>
      </c>
      <c r="P114" s="9">
        <f t="shared" si="2"/>
        <v>1.288012426772716</v>
      </c>
    </row>
    <row r="115" spans="4:16" x14ac:dyDescent="0.25">
      <c r="D115" s="9">
        <v>100</v>
      </c>
      <c r="E115" s="9">
        <f t="shared" si="1"/>
        <v>0.10001615842009814</v>
      </c>
      <c r="F115" s="9">
        <f t="shared" si="1"/>
        <v>-14.312400525893256</v>
      </c>
      <c r="G115" s="9">
        <f t="shared" si="1"/>
        <v>22.341659833819019</v>
      </c>
      <c r="H115" s="9">
        <f t="shared" si="1"/>
        <v>8.8903375087347983E-2</v>
      </c>
      <c r="I115" s="9">
        <f t="shared" si="1"/>
        <v>-16.809998269028213</v>
      </c>
      <c r="J115" s="9">
        <f t="shared" si="1"/>
        <v>10.909273188533696</v>
      </c>
      <c r="K115" s="9" t="str">
        <f t="shared" si="1"/>
        <v/>
      </c>
      <c r="L115" s="9" t="str">
        <f t="shared" si="1"/>
        <v/>
      </c>
      <c r="M115" s="9" t="str">
        <f t="shared" si="1"/>
        <v/>
      </c>
      <c r="N115" s="9" t="str">
        <f t="shared" si="1"/>
        <v/>
      </c>
      <c r="O115" s="9" t="str">
        <f t="shared" si="1"/>
        <v/>
      </c>
      <c r="P115" s="9">
        <f t="shared" si="2"/>
        <v>2.2174376025185936</v>
      </c>
    </row>
    <row r="116" spans="4:16" x14ac:dyDescent="0.25">
      <c r="D116" s="9">
        <v>200</v>
      </c>
      <c r="E116" s="9">
        <f t="shared" si="1"/>
        <v>0.19787179158207199</v>
      </c>
      <c r="F116" s="9">
        <f t="shared" si="1"/>
        <v>-17.48587724463102</v>
      </c>
      <c r="G116" s="9">
        <f t="shared" si="1"/>
        <v>26.67647391979958</v>
      </c>
      <c r="H116" s="9">
        <f t="shared" si="1"/>
        <v>0.15700724990648099</v>
      </c>
      <c r="I116" s="9">
        <f t="shared" si="1"/>
        <v>-20.525647983620306</v>
      </c>
      <c r="J116" s="9">
        <f t="shared" si="1"/>
        <v>14.605683255730412</v>
      </c>
      <c r="K116" s="9" t="str">
        <f t="shared" si="1"/>
        <v/>
      </c>
      <c r="L116" s="9" t="str">
        <f t="shared" si="1"/>
        <v/>
      </c>
      <c r="M116" s="9" t="str">
        <f t="shared" si="1"/>
        <v/>
      </c>
      <c r="N116" s="9" t="str">
        <f t="shared" si="1"/>
        <v/>
      </c>
      <c r="O116" s="9" t="str">
        <f t="shared" si="1"/>
        <v/>
      </c>
      <c r="P116" s="9">
        <f t="shared" si="2"/>
        <v>3.4276391971851474</v>
      </c>
    </row>
    <row r="117" spans="4:16" x14ac:dyDescent="0.25">
      <c r="D117" s="9">
        <v>500</v>
      </c>
      <c r="E117" s="9">
        <f t="shared" si="1"/>
        <v>0.4789372319279151</v>
      </c>
      <c r="F117" s="9">
        <f t="shared" si="1"/>
        <v>-18.380144108680643</v>
      </c>
      <c r="G117" s="9">
        <f t="shared" si="1"/>
        <v>27.712378009027361</v>
      </c>
      <c r="H117" s="9">
        <f t="shared" si="1"/>
        <v>0.27975759815244827</v>
      </c>
      <c r="I117" s="9">
        <f t="shared" si="1"/>
        <v>-21.568613587271994</v>
      </c>
      <c r="J117" s="9">
        <f t="shared" si="1"/>
        <v>16.42631050522764</v>
      </c>
      <c r="K117" s="9" t="str">
        <f t="shared" si="1"/>
        <v/>
      </c>
      <c r="L117" s="9" t="str">
        <f t="shared" si="1"/>
        <v/>
      </c>
      <c r="M117" s="9" t="str">
        <f t="shared" si="1"/>
        <v/>
      </c>
      <c r="N117" s="9" t="str">
        <f t="shared" si="1"/>
        <v/>
      </c>
      <c r="O117" s="9" t="str">
        <f t="shared" si="1"/>
        <v/>
      </c>
      <c r="P117" s="9">
        <f t="shared" si="2"/>
        <v>4.4696884164548134</v>
      </c>
    </row>
    <row r="118" spans="4:16" x14ac:dyDescent="0.25">
      <c r="D118" s="9">
        <v>1000</v>
      </c>
      <c r="E118" s="9">
        <f t="shared" si="1"/>
        <v>0.90833215886084651</v>
      </c>
      <c r="F118" s="9">
        <f t="shared" si="1"/>
        <v>-18.389994717857874</v>
      </c>
      <c r="G118" s="9">
        <f t="shared" si="1"/>
        <v>27.719997904229928</v>
      </c>
      <c r="H118" s="9">
        <f t="shared" si="1"/>
        <v>0.35355647597851042</v>
      </c>
      <c r="I118" s="9">
        <f t="shared" si="1"/>
        <v>-21.57999399210404</v>
      </c>
      <c r="J118" s="9">
        <f t="shared" si="1"/>
        <v>16.499670900506679</v>
      </c>
      <c r="K118" s="9" t="str">
        <f t="shared" si="1"/>
        <v/>
      </c>
      <c r="L118" s="9" t="str">
        <f t="shared" si="1"/>
        <v/>
      </c>
      <c r="M118" s="9" t="str">
        <f t="shared" si="1"/>
        <v/>
      </c>
      <c r="N118" s="9" t="str">
        <f t="shared" si="1"/>
        <v/>
      </c>
      <c r="O118" s="9" t="str">
        <f t="shared" si="1"/>
        <v/>
      </c>
      <c r="P118" s="9">
        <f t="shared" si="2"/>
        <v>4.6032365707532037</v>
      </c>
    </row>
    <row r="119" spans="4:16" x14ac:dyDescent="0.25">
      <c r="D119" s="9">
        <v>2000</v>
      </c>
      <c r="E119" s="9">
        <f t="shared" si="1"/>
        <v>1.6384640346070485</v>
      </c>
      <c r="F119" s="9">
        <f t="shared" si="1"/>
        <v>-18.389999999998484</v>
      </c>
      <c r="G119" s="9">
        <f t="shared" si="1"/>
        <v>27.719999999999843</v>
      </c>
      <c r="H119" s="9">
        <f t="shared" si="1"/>
        <v>0.37815984220348658</v>
      </c>
      <c r="I119" s="9">
        <f t="shared" si="1"/>
        <v>-21.579999999998325</v>
      </c>
      <c r="J119" s="9">
        <f t="shared" si="1"/>
        <v>16.499999993435971</v>
      </c>
      <c r="K119" s="9" t="str">
        <f t="shared" si="1"/>
        <v/>
      </c>
      <c r="L119" s="9" t="str">
        <f t="shared" si="1"/>
        <v/>
      </c>
      <c r="M119" s="9" t="str">
        <f t="shared" si="1"/>
        <v/>
      </c>
      <c r="N119" s="9" t="str">
        <f t="shared" si="1"/>
        <v/>
      </c>
      <c r="O119" s="9" t="str">
        <f t="shared" si="1"/>
        <v/>
      </c>
      <c r="P119" s="9">
        <f t="shared" si="2"/>
        <v>4.6281598356424904</v>
      </c>
    </row>
    <row r="120" spans="4:16" x14ac:dyDescent="0.25">
      <c r="D120" s="9">
        <v>5000</v>
      </c>
      <c r="E120" s="9">
        <f t="shared" si="1"/>
        <v>3.0763110226909358</v>
      </c>
      <c r="F120" s="9">
        <f t="shared" si="1"/>
        <v>-18.39</v>
      </c>
      <c r="G120" s="9">
        <f t="shared" si="1"/>
        <v>27.72</v>
      </c>
      <c r="H120" s="9">
        <f t="shared" si="1"/>
        <v>0.3799993798992306</v>
      </c>
      <c r="I120" s="9">
        <f t="shared" si="1"/>
        <v>-21.58</v>
      </c>
      <c r="J120" s="9">
        <f t="shared" si="1"/>
        <v>16.5</v>
      </c>
      <c r="K120" s="9" t="str">
        <f t="shared" si="1"/>
        <v/>
      </c>
      <c r="L120" s="9" t="str">
        <f t="shared" si="1"/>
        <v/>
      </c>
      <c r="M120" s="9" t="str">
        <f t="shared" si="1"/>
        <v/>
      </c>
      <c r="N120" s="9" t="str">
        <f t="shared" si="1"/>
        <v/>
      </c>
      <c r="O120" s="9" t="str">
        <f t="shared" si="1"/>
        <v/>
      </c>
      <c r="P120" s="9">
        <f t="shared" si="2"/>
        <v>4.62999937989923</v>
      </c>
    </row>
    <row r="121" spans="4:16" x14ac:dyDescent="0.25">
      <c r="D121" s="9">
        <v>10000</v>
      </c>
      <c r="E121" s="9">
        <f t="shared" si="1"/>
        <v>4.1086286310557911</v>
      </c>
      <c r="F121" s="9">
        <f t="shared" si="1"/>
        <v>-18.39</v>
      </c>
      <c r="G121" s="9">
        <f t="shared" si="1"/>
        <v>27.72</v>
      </c>
      <c r="H121" s="9">
        <f t="shared" si="1"/>
        <v>0.37999999999898809</v>
      </c>
      <c r="I121" s="9">
        <f t="shared" si="1"/>
        <v>-21.58</v>
      </c>
      <c r="J121" s="9">
        <f t="shared" si="1"/>
        <v>16.5</v>
      </c>
      <c r="K121" s="9" t="str">
        <f t="shared" si="1"/>
        <v/>
      </c>
      <c r="L121" s="9" t="str">
        <f t="shared" si="1"/>
        <v/>
      </c>
      <c r="M121" s="9" t="str">
        <f t="shared" si="1"/>
        <v/>
      </c>
      <c r="N121" s="9" t="str">
        <f t="shared" si="1"/>
        <v/>
      </c>
      <c r="O121" s="9" t="str">
        <f t="shared" si="1"/>
        <v/>
      </c>
      <c r="P121" s="9">
        <f t="shared" si="2"/>
        <v>4.6299999999989883</v>
      </c>
    </row>
    <row r="126" spans="4:16" x14ac:dyDescent="0.25">
      <c r="D126" t="s">
        <v>27</v>
      </c>
      <c r="E126" t="s">
        <v>38</v>
      </c>
      <c r="F126" t="s">
        <v>28</v>
      </c>
      <c r="G126" t="s">
        <v>29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35</v>
      </c>
      <c r="N126" t="s">
        <v>36</v>
      </c>
      <c r="O126" t="s">
        <v>37</v>
      </c>
      <c r="P126" t="s">
        <v>39</v>
      </c>
    </row>
    <row r="127" spans="4:16" x14ac:dyDescent="0.25">
      <c r="D127" s="9">
        <v>1E-3</v>
      </c>
      <c r="E127" s="9">
        <f>IFERROR(E$4*(1-EXP(-$D127/(E$4*E$5))),"")</f>
        <v>6.211179923987232E-7</v>
      </c>
      <c r="F127" s="9">
        <f t="shared" ref="F127:O142" si="3">IFERROR(F$4*(1-EXP(-$D127/(F$4*F$5))),"")</f>
        <v>-8.2644212743620659E-4</v>
      </c>
      <c r="G127" s="9">
        <f t="shared" si="3"/>
        <v>-8.2644212793738349E-4</v>
      </c>
      <c r="H127" s="9">
        <f t="shared" si="3"/>
        <v>9.9999446353021045E-4</v>
      </c>
      <c r="I127" s="9">
        <f t="shared" si="3"/>
        <v>6.1919446552094472E-7</v>
      </c>
      <c r="J127" s="9">
        <f t="shared" si="3"/>
        <v>7.6922722730432655E-4</v>
      </c>
      <c r="K127" s="9" t="str">
        <f t="shared" si="3"/>
        <v/>
      </c>
      <c r="L127" s="9" t="str">
        <f t="shared" si="3"/>
        <v/>
      </c>
      <c r="M127" s="9" t="str">
        <f t="shared" si="3"/>
        <v/>
      </c>
      <c r="N127" s="9" t="str">
        <f t="shared" si="3"/>
        <v/>
      </c>
      <c r="O127" s="9" t="str">
        <f t="shared" si="3"/>
        <v/>
      </c>
      <c r="P127" s="9">
        <f>SUM(F127:O127)</f>
        <v>1.1695662992646774E-4</v>
      </c>
    </row>
    <row r="128" spans="4:16" x14ac:dyDescent="0.25">
      <c r="D128" s="9">
        <v>2E-3</v>
      </c>
      <c r="E128" s="9">
        <f t="shared" ref="E128:O148" si="4">IFERROR(E$4*(1-EXP(-$D128/(E$4*E$5))),"")</f>
        <v>1.2422359459485223E-6</v>
      </c>
      <c r="F128" s="9">
        <f t="shared" si="3"/>
        <v>-1.6528759478055366E-3</v>
      </c>
      <c r="G128" s="9">
        <f t="shared" si="3"/>
        <v>-1.6528759498242629E-3</v>
      </c>
      <c r="H128" s="9">
        <f t="shared" si="3"/>
        <v>1.9999778542185045E-3</v>
      </c>
      <c r="I128" s="9">
        <f t="shared" si="3"/>
        <v>1.2383877692345725E-6</v>
      </c>
      <c r="J128" s="9">
        <f t="shared" si="3"/>
        <v>1.5384473708055758E-3</v>
      </c>
      <c r="K128" s="9" t="str">
        <f t="shared" si="3"/>
        <v/>
      </c>
      <c r="L128" s="9" t="str">
        <f t="shared" si="3"/>
        <v/>
      </c>
      <c r="M128" s="9" t="str">
        <f t="shared" si="3"/>
        <v/>
      </c>
      <c r="N128" s="9" t="str">
        <f t="shared" si="3"/>
        <v/>
      </c>
      <c r="O128" s="9" t="str">
        <f t="shared" si="3"/>
        <v/>
      </c>
      <c r="P128" s="9">
        <f t="shared" ref="P128:P147" si="5">SUM(F128:O128)</f>
        <v>2.3391171516351549E-4</v>
      </c>
    </row>
    <row r="129" spans="4:16" x14ac:dyDescent="0.25">
      <c r="D129" s="9">
        <v>5.0000000000000001E-3</v>
      </c>
      <c r="E129" s="9">
        <f t="shared" si="4"/>
        <v>3.1055895659504177E-6</v>
      </c>
      <c r="F129" s="9">
        <f t="shared" si="3"/>
        <v>-4.132127567388579E-3</v>
      </c>
      <c r="G129" s="9">
        <f t="shared" si="3"/>
        <v>-4.1321275800126492E-3</v>
      </c>
      <c r="H129" s="9">
        <f t="shared" si="3"/>
        <v>4.9998615904150038E-3</v>
      </c>
      <c r="I129" s="9">
        <f t="shared" si="3"/>
        <v>3.0959607094216413E-6</v>
      </c>
      <c r="J129" s="9">
        <f t="shared" si="3"/>
        <v>3.8460652990936484E-3</v>
      </c>
      <c r="K129" s="9" t="str">
        <f t="shared" si="3"/>
        <v/>
      </c>
      <c r="L129" s="9" t="str">
        <f t="shared" si="3"/>
        <v/>
      </c>
      <c r="M129" s="9" t="str">
        <f t="shared" si="3"/>
        <v/>
      </c>
      <c r="N129" s="9" t="str">
        <f t="shared" si="3"/>
        <v/>
      </c>
      <c r="O129" s="9" t="str">
        <f t="shared" si="3"/>
        <v/>
      </c>
      <c r="P129" s="9">
        <f t="shared" si="5"/>
        <v>5.8476770281684545E-4</v>
      </c>
    </row>
    <row r="130" spans="4:16" x14ac:dyDescent="0.25">
      <c r="D130" s="9">
        <v>0.01</v>
      </c>
      <c r="E130" s="9">
        <f t="shared" si="4"/>
        <v>6.2111781401741346E-6</v>
      </c>
      <c r="F130" s="9">
        <f t="shared" si="3"/>
        <v>-8.2640474665853919E-3</v>
      </c>
      <c r="G130" s="9">
        <f t="shared" si="3"/>
        <v>-8.2640475170978056E-3</v>
      </c>
      <c r="H130" s="9">
        <f t="shared" si="3"/>
        <v>9.9994463718940108E-3</v>
      </c>
      <c r="I130" s="9">
        <f t="shared" si="3"/>
        <v>6.1918923734771702E-6</v>
      </c>
      <c r="J130" s="9">
        <f t="shared" si="3"/>
        <v>7.6919535094906611E-3</v>
      </c>
      <c r="K130" s="9" t="str">
        <f t="shared" si="3"/>
        <v/>
      </c>
      <c r="L130" s="9" t="str">
        <f t="shared" si="3"/>
        <v/>
      </c>
      <c r="M130" s="9" t="str">
        <f t="shared" si="3"/>
        <v/>
      </c>
      <c r="N130" s="9" t="str">
        <f t="shared" si="3"/>
        <v/>
      </c>
      <c r="O130" s="9" t="str">
        <f t="shared" si="3"/>
        <v/>
      </c>
      <c r="P130" s="9">
        <f t="shared" si="5"/>
        <v>1.1694967900749515E-3</v>
      </c>
    </row>
    <row r="131" spans="4:16" x14ac:dyDescent="0.25">
      <c r="D131" s="9">
        <v>0.02</v>
      </c>
      <c r="E131" s="9">
        <f t="shared" si="4"/>
        <v>1.2422352310204055E-5</v>
      </c>
      <c r="F131" s="9">
        <f t="shared" si="3"/>
        <v>-1.6527264302174601E-2</v>
      </c>
      <c r="G131" s="9">
        <f t="shared" si="3"/>
        <v>-1.6527264504197708E-2</v>
      </c>
      <c r="H131" s="9">
        <f t="shared" si="3"/>
        <v>1.9997785569295455E-2</v>
      </c>
      <c r="I131" s="9">
        <f t="shared" si="3"/>
        <v>1.2383668566552375E-5</v>
      </c>
      <c r="J131" s="9">
        <f t="shared" si="3"/>
        <v>1.5383198696838178E-2</v>
      </c>
      <c r="K131" s="9" t="str">
        <f t="shared" si="3"/>
        <v/>
      </c>
      <c r="L131" s="9" t="str">
        <f t="shared" si="3"/>
        <v/>
      </c>
      <c r="M131" s="9" t="str">
        <f t="shared" si="3"/>
        <v/>
      </c>
      <c r="N131" s="9" t="str">
        <f t="shared" si="3"/>
        <v/>
      </c>
      <c r="O131" s="9" t="str">
        <f t="shared" si="3"/>
        <v/>
      </c>
      <c r="P131" s="9">
        <f t="shared" si="5"/>
        <v>2.3388391283278766E-3</v>
      </c>
    </row>
    <row r="132" spans="4:16" x14ac:dyDescent="0.25">
      <c r="D132" s="9">
        <v>0.05</v>
      </c>
      <c r="E132" s="9">
        <f t="shared" si="4"/>
        <v>3.1055851008061634E-5</v>
      </c>
      <c r="F132" s="9">
        <f t="shared" si="3"/>
        <v>-4.1311931857807856E-2</v>
      </c>
      <c r="G132" s="9">
        <f t="shared" si="3"/>
        <v>-4.1311933120180333E-2</v>
      </c>
      <c r="H132" s="9">
        <f t="shared" si="3"/>
        <v>4.9986161340435181E-2</v>
      </c>
      <c r="I132" s="9">
        <f t="shared" si="3"/>
        <v>3.0958300085165427E-5</v>
      </c>
      <c r="J132" s="9">
        <f t="shared" si="3"/>
        <v>3.8452684978240691E-2</v>
      </c>
      <c r="K132" s="9" t="str">
        <f t="shared" si="3"/>
        <v/>
      </c>
      <c r="L132" s="9" t="str">
        <f t="shared" si="3"/>
        <v/>
      </c>
      <c r="M132" s="9" t="str">
        <f t="shared" si="3"/>
        <v/>
      </c>
      <c r="N132" s="9" t="str">
        <f t="shared" si="3"/>
        <v/>
      </c>
      <c r="O132" s="9" t="str">
        <f t="shared" si="3"/>
        <v/>
      </c>
      <c r="P132" s="9">
        <f t="shared" si="5"/>
        <v>5.8459396407728528E-3</v>
      </c>
    </row>
    <row r="133" spans="4:16" x14ac:dyDescent="0.25">
      <c r="D133" s="9">
        <v>0.1</v>
      </c>
      <c r="E133" s="9">
        <f t="shared" si="4"/>
        <v>6.2111602792733753E-5</v>
      </c>
      <c r="F133" s="9">
        <f t="shared" si="3"/>
        <v>-8.2603106287823719E-2</v>
      </c>
      <c r="G133" s="9">
        <f t="shared" si="3"/>
        <v>-8.2603111335601137E-2</v>
      </c>
      <c r="H133" s="9">
        <f t="shared" si="3"/>
        <v>9.9944655575067681E-2</v>
      </c>
      <c r="I133" s="9">
        <f t="shared" si="3"/>
        <v>6.1913695878420549E-5</v>
      </c>
      <c r="J133" s="9">
        <f t="shared" si="3"/>
        <v>7.6887668424312036E-2</v>
      </c>
      <c r="K133" s="9" t="str">
        <f t="shared" si="3"/>
        <v/>
      </c>
      <c r="L133" s="9" t="str">
        <f t="shared" si="3"/>
        <v/>
      </c>
      <c r="M133" s="9" t="str">
        <f t="shared" si="3"/>
        <v/>
      </c>
      <c r="N133" s="9" t="str">
        <f t="shared" si="3"/>
        <v/>
      </c>
      <c r="O133" s="9" t="str">
        <f t="shared" si="3"/>
        <v/>
      </c>
      <c r="P133" s="9">
        <f t="shared" si="5"/>
        <v>1.1688020071833283E-2</v>
      </c>
    </row>
    <row r="134" spans="4:16" x14ac:dyDescent="0.25">
      <c r="D134" s="9">
        <v>0.2</v>
      </c>
      <c r="E134" s="9">
        <f t="shared" si="4"/>
        <v>1.2422280868651381E-4</v>
      </c>
      <c r="F134" s="9">
        <f t="shared" si="3"/>
        <v>-0.16512322457797002</v>
      </c>
      <c r="G134" s="9">
        <f t="shared" si="3"/>
        <v>-0.16512324475557327</v>
      </c>
      <c r="H134" s="9">
        <f t="shared" si="3"/>
        <v>0.19977870397287528</v>
      </c>
      <c r="I134" s="9">
        <f t="shared" si="3"/>
        <v>1.2381577567883162E-4</v>
      </c>
      <c r="J134" s="9">
        <f t="shared" si="3"/>
        <v>0.15370456331150584</v>
      </c>
      <c r="K134" s="9" t="str">
        <f t="shared" si="3"/>
        <v/>
      </c>
      <c r="L134" s="9" t="str">
        <f t="shared" si="3"/>
        <v/>
      </c>
      <c r="M134" s="9" t="str">
        <f t="shared" si="3"/>
        <v/>
      </c>
      <c r="N134" s="9" t="str">
        <f t="shared" si="3"/>
        <v/>
      </c>
      <c r="O134" s="9" t="str">
        <f t="shared" si="3"/>
        <v/>
      </c>
      <c r="P134" s="9">
        <f t="shared" si="5"/>
        <v>2.3360613726516655E-2</v>
      </c>
    </row>
    <row r="135" spans="4:16" x14ac:dyDescent="0.25">
      <c r="D135" s="9">
        <v>0.5</v>
      </c>
      <c r="E135" s="9">
        <f t="shared" si="4"/>
        <v>3.1055404500434757E-4</v>
      </c>
      <c r="F135" s="9">
        <f t="shared" si="3"/>
        <v>-0.41218648479050224</v>
      </c>
      <c r="G135" s="9">
        <f t="shared" si="3"/>
        <v>-0.41218661064732881</v>
      </c>
      <c r="H135" s="9">
        <f t="shared" si="3"/>
        <v>0.49861842949781343</v>
      </c>
      <c r="I135" s="9">
        <f t="shared" si="3"/>
        <v>3.0945234040383629E-4</v>
      </c>
      <c r="J135" s="9">
        <f t="shared" si="3"/>
        <v>0.38373125790661217</v>
      </c>
      <c r="K135" s="9" t="str">
        <f t="shared" si="3"/>
        <v/>
      </c>
      <c r="L135" s="9" t="str">
        <f t="shared" si="3"/>
        <v/>
      </c>
      <c r="M135" s="9" t="str">
        <f t="shared" si="3"/>
        <v/>
      </c>
      <c r="N135" s="9" t="str">
        <f t="shared" si="3"/>
        <v/>
      </c>
      <c r="O135" s="9" t="str">
        <f t="shared" si="3"/>
        <v/>
      </c>
      <c r="P135" s="9">
        <f t="shared" si="5"/>
        <v>5.8286044306998464E-2</v>
      </c>
    </row>
    <row r="136" spans="4:16" x14ac:dyDescent="0.25">
      <c r="D136" s="9">
        <v>1</v>
      </c>
      <c r="E136" s="9">
        <f t="shared" si="4"/>
        <v>6.2109816780463677E-4</v>
      </c>
      <c r="F136" s="9">
        <f t="shared" si="3"/>
        <v>-0.82230659037588905</v>
      </c>
      <c r="G136" s="9">
        <f t="shared" si="3"/>
        <v>-0.82230709212041619</v>
      </c>
      <c r="H136" s="9">
        <f t="shared" si="3"/>
        <v>0.99448389323065678</v>
      </c>
      <c r="I136" s="9">
        <f t="shared" si="3"/>
        <v>6.1861449671376525E-4</v>
      </c>
      <c r="J136" s="9">
        <f t="shared" si="3"/>
        <v>0.76569967996630028</v>
      </c>
      <c r="K136" s="9" t="str">
        <f t="shared" si="3"/>
        <v/>
      </c>
      <c r="L136" s="9" t="str">
        <f t="shared" si="3"/>
        <v/>
      </c>
      <c r="M136" s="9" t="str">
        <f t="shared" si="3"/>
        <v/>
      </c>
      <c r="N136" s="9" t="str">
        <f t="shared" si="3"/>
        <v/>
      </c>
      <c r="O136" s="9" t="str">
        <f t="shared" si="3"/>
        <v/>
      </c>
      <c r="P136" s="9">
        <f t="shared" si="5"/>
        <v>0.11618850519736545</v>
      </c>
    </row>
    <row r="137" spans="4:16" x14ac:dyDescent="0.25">
      <c r="D137" s="9">
        <v>2</v>
      </c>
      <c r="E137" s="9">
        <f t="shared" si="4"/>
        <v>1.2421566480642632E-3</v>
      </c>
      <c r="F137" s="9">
        <f t="shared" si="3"/>
        <v>-1.6363890488060715</v>
      </c>
      <c r="G137" s="9">
        <f t="shared" si="3"/>
        <v>-1.6363910423978236</v>
      </c>
      <c r="H137" s="9">
        <f t="shared" si="3"/>
        <v>1.9780166380403732</v>
      </c>
      <c r="I137" s="9">
        <f t="shared" si="3"/>
        <v>1.236069345259232E-3</v>
      </c>
      <c r="J137" s="9">
        <f t="shared" si="3"/>
        <v>1.5243803727435534</v>
      </c>
      <c r="K137" s="9" t="str">
        <f t="shared" si="3"/>
        <v/>
      </c>
      <c r="L137" s="9" t="str">
        <f t="shared" si="3"/>
        <v/>
      </c>
      <c r="M137" s="9" t="str">
        <f t="shared" si="3"/>
        <v/>
      </c>
      <c r="N137" s="9" t="str">
        <f t="shared" si="3"/>
        <v/>
      </c>
      <c r="O137" s="9" t="str">
        <f t="shared" si="3"/>
        <v/>
      </c>
      <c r="P137" s="9">
        <f t="shared" si="5"/>
        <v>0.23085298892529083</v>
      </c>
    </row>
    <row r="138" spans="4:16" x14ac:dyDescent="0.25">
      <c r="D138" s="9">
        <v>5</v>
      </c>
      <c r="E138" s="9">
        <f t="shared" si="4"/>
        <v>3.1050939889360322E-3</v>
      </c>
      <c r="F138" s="9">
        <f t="shared" si="3"/>
        <v>-4.0301100473301128</v>
      </c>
      <c r="G138" s="9">
        <f t="shared" si="3"/>
        <v>-4.03012226002995</v>
      </c>
      <c r="H138" s="9">
        <f t="shared" si="3"/>
        <v>4.8641072853382123</v>
      </c>
      <c r="I138" s="9">
        <f t="shared" si="3"/>
        <v>3.0814977201593344E-3</v>
      </c>
      <c r="J138" s="9">
        <f t="shared" si="3"/>
        <v>3.7589489982289996</v>
      </c>
      <c r="K138" s="9" t="str">
        <f t="shared" si="3"/>
        <v/>
      </c>
      <c r="L138" s="9" t="str">
        <f t="shared" si="3"/>
        <v/>
      </c>
      <c r="M138" s="9" t="str">
        <f t="shared" si="3"/>
        <v/>
      </c>
      <c r="N138" s="9" t="str">
        <f t="shared" si="3"/>
        <v/>
      </c>
      <c r="O138" s="9" t="str">
        <f t="shared" si="3"/>
        <v/>
      </c>
      <c r="P138" s="9">
        <f t="shared" si="5"/>
        <v>0.5659054739273075</v>
      </c>
    </row>
    <row r="139" spans="4:16" x14ac:dyDescent="0.25">
      <c r="D139" s="9">
        <v>10</v>
      </c>
      <c r="E139" s="9">
        <f t="shared" si="4"/>
        <v>6.2091960428223647E-3</v>
      </c>
      <c r="F139" s="9">
        <f t="shared" si="3"/>
        <v>-7.8626795085061225</v>
      </c>
      <c r="G139" s="9">
        <f t="shared" si="3"/>
        <v>-7.862726759743861</v>
      </c>
      <c r="H139" s="9">
        <f t="shared" si="3"/>
        <v>9.4662331767745282</v>
      </c>
      <c r="I139" s="9">
        <f t="shared" si="3"/>
        <v>6.1342208094115362E-3</v>
      </c>
      <c r="J139" s="9">
        <f t="shared" si="3"/>
        <v>7.3487408365000517</v>
      </c>
      <c r="K139" s="9" t="str">
        <f t="shared" si="3"/>
        <v/>
      </c>
      <c r="L139" s="9" t="str">
        <f t="shared" si="3"/>
        <v/>
      </c>
      <c r="M139" s="9" t="str">
        <f t="shared" si="3"/>
        <v/>
      </c>
      <c r="N139" s="9" t="str">
        <f t="shared" si="3"/>
        <v/>
      </c>
      <c r="O139" s="9" t="str">
        <f t="shared" si="3"/>
        <v/>
      </c>
      <c r="P139" s="9">
        <f t="shared" si="5"/>
        <v>1.0957019658340084</v>
      </c>
    </row>
    <row r="140" spans="4:16" x14ac:dyDescent="0.25">
      <c r="D140" s="9">
        <v>20</v>
      </c>
      <c r="E140" s="9">
        <f t="shared" si="4"/>
        <v>1.241442561285647E-2</v>
      </c>
      <c r="F140" s="9">
        <f t="shared" si="3"/>
        <v>-14.973452801328929</v>
      </c>
      <c r="G140" s="9">
        <f t="shared" si="3"/>
        <v>-14.973629707030065</v>
      </c>
      <c r="H140" s="9">
        <f t="shared" si="3"/>
        <v>17.940222188372804</v>
      </c>
      <c r="I140" s="9">
        <f t="shared" si="3"/>
        <v>1.2154415361433352E-2</v>
      </c>
      <c r="J140" s="9">
        <f t="shared" si="3"/>
        <v>14.050959562596137</v>
      </c>
      <c r="K140" s="9" t="str">
        <f t="shared" si="3"/>
        <v/>
      </c>
      <c r="L140" s="9" t="str">
        <f t="shared" si="3"/>
        <v/>
      </c>
      <c r="M140" s="9" t="str">
        <f t="shared" si="3"/>
        <v/>
      </c>
      <c r="N140" s="9" t="str">
        <f t="shared" si="3"/>
        <v/>
      </c>
      <c r="O140" s="9" t="str">
        <f t="shared" si="3"/>
        <v/>
      </c>
      <c r="P140" s="9">
        <f t="shared" si="5"/>
        <v>2.0562536579713786</v>
      </c>
    </row>
    <row r="141" spans="4:16" x14ac:dyDescent="0.25">
      <c r="D141" s="9">
        <v>50</v>
      </c>
      <c r="E141" s="9">
        <f t="shared" si="4"/>
        <v>3.1006340816214423E-2</v>
      </c>
      <c r="F141" s="9">
        <f t="shared" si="3"/>
        <v>-32.479658016275394</v>
      </c>
      <c r="G141" s="9">
        <f t="shared" si="3"/>
        <v>-32.4805678046705</v>
      </c>
      <c r="H141" s="9">
        <f t="shared" si="3"/>
        <v>38.395421205298589</v>
      </c>
      <c r="I141" s="9">
        <f t="shared" si="3"/>
        <v>2.9551841031221378E-2</v>
      </c>
      <c r="J141" s="9">
        <f t="shared" si="3"/>
        <v>30.822695383480795</v>
      </c>
      <c r="K141" s="9" t="str">
        <f t="shared" si="3"/>
        <v/>
      </c>
      <c r="L141" s="9" t="str">
        <f t="shared" si="3"/>
        <v/>
      </c>
      <c r="M141" s="9" t="str">
        <f t="shared" si="3"/>
        <v/>
      </c>
      <c r="N141" s="9" t="str">
        <f t="shared" si="3"/>
        <v/>
      </c>
      <c r="O141" s="9" t="str">
        <f t="shared" si="3"/>
        <v/>
      </c>
      <c r="P141" s="9">
        <f t="shared" si="5"/>
        <v>4.287442608864712</v>
      </c>
    </row>
    <row r="142" spans="4:16" x14ac:dyDescent="0.25">
      <c r="D142" s="9">
        <v>100</v>
      </c>
      <c r="E142" s="9">
        <f t="shared" si="4"/>
        <v>6.1913772869999412E-2</v>
      </c>
      <c r="F142" s="9">
        <f t="shared" si="3"/>
        <v>-52.128761607177374</v>
      </c>
      <c r="G142" s="9">
        <f t="shared" si="3"/>
        <v>-52.131422792682876</v>
      </c>
      <c r="H142" s="9">
        <f t="shared" si="3"/>
        <v>60.466976066534585</v>
      </c>
      <c r="I142" s="9">
        <f t="shared" si="3"/>
        <v>5.645728415839861E-2</v>
      </c>
      <c r="J142" s="9">
        <f t="shared" si="3"/>
        <v>50.271769903764543</v>
      </c>
      <c r="K142" s="9" t="str">
        <f t="shared" si="3"/>
        <v/>
      </c>
      <c r="L142" s="9" t="str">
        <f t="shared" si="3"/>
        <v/>
      </c>
      <c r="M142" s="9" t="str">
        <f t="shared" si="3"/>
        <v/>
      </c>
      <c r="N142" s="9" t="str">
        <f t="shared" si="3"/>
        <v/>
      </c>
      <c r="O142" s="9" t="str">
        <f t="shared" si="3"/>
        <v/>
      </c>
      <c r="P142" s="9">
        <f t="shared" si="5"/>
        <v>6.5350188545972756</v>
      </c>
    </row>
    <row r="143" spans="4:16" x14ac:dyDescent="0.25">
      <c r="D143" s="9">
        <v>200</v>
      </c>
      <c r="E143" s="9">
        <f t="shared" si="4"/>
        <v>0.12343317174092501</v>
      </c>
      <c r="F143" s="9">
        <f t="shared" si="4"/>
        <v>-71.207075796476744</v>
      </c>
      <c r="G143" s="9">
        <f t="shared" si="4"/>
        <v>-71.213043294359352</v>
      </c>
      <c r="H143" s="9">
        <f t="shared" si="4"/>
        <v>80.448344840068771</v>
      </c>
      <c r="I143" s="9">
        <f t="shared" si="4"/>
        <v>0.10325570487879064</v>
      </c>
      <c r="J143" s="9">
        <f t="shared" si="4"/>
        <v>70.287932848866973</v>
      </c>
      <c r="K143" s="9" t="str">
        <f t="shared" si="4"/>
        <v/>
      </c>
      <c r="L143" s="9" t="str">
        <f t="shared" si="4"/>
        <v/>
      </c>
      <c r="M143" s="9" t="str">
        <f t="shared" si="4"/>
        <v/>
      </c>
      <c r="N143" s="9" t="str">
        <f t="shared" si="4"/>
        <v/>
      </c>
      <c r="O143" s="9" t="str">
        <f t="shared" si="4"/>
        <v/>
      </c>
      <c r="P143" s="9">
        <f t="shared" si="5"/>
        <v>8.4194143029784385</v>
      </c>
    </row>
    <row r="144" spans="4:16" x14ac:dyDescent="0.25">
      <c r="D144" s="9">
        <v>500</v>
      </c>
      <c r="E144" s="9">
        <f t="shared" si="4"/>
        <v>0.30565016501342146</v>
      </c>
      <c r="F144" s="9">
        <f t="shared" si="4"/>
        <v>-81.680128480964015</v>
      </c>
      <c r="G144" s="9">
        <f t="shared" si="4"/>
        <v>-81.68973271358594</v>
      </c>
      <c r="H144" s="9">
        <f t="shared" si="4"/>
        <v>89.954146888983345</v>
      </c>
      <c r="I144" s="9">
        <f t="shared" si="4"/>
        <v>0.20085725516794295</v>
      </c>
      <c r="J144" s="9">
        <f t="shared" si="4"/>
        <v>82.694155012087776</v>
      </c>
      <c r="K144" s="9" t="str">
        <f t="shared" si="4"/>
        <v/>
      </c>
      <c r="L144" s="9" t="str">
        <f t="shared" si="4"/>
        <v/>
      </c>
      <c r="M144" s="9" t="str">
        <f t="shared" si="4"/>
        <v/>
      </c>
      <c r="N144" s="9" t="str">
        <f t="shared" si="4"/>
        <v/>
      </c>
      <c r="O144" s="9" t="str">
        <f t="shared" si="4"/>
        <v/>
      </c>
      <c r="P144" s="9">
        <f t="shared" si="5"/>
        <v>9.4792979616890989</v>
      </c>
    </row>
    <row r="145" spans="4:16" x14ac:dyDescent="0.25">
      <c r="D145" s="9">
        <v>1000</v>
      </c>
      <c r="E145" s="9">
        <f t="shared" si="4"/>
        <v>0.60168901074981429</v>
      </c>
      <c r="F145" s="9">
        <f t="shared" si="4"/>
        <v>-82.216455105119607</v>
      </c>
      <c r="G145" s="9">
        <f t="shared" si="4"/>
        <v>-82.226450337580332</v>
      </c>
      <c r="H145" s="9">
        <f t="shared" si="4"/>
        <v>90.308597813790058</v>
      </c>
      <c r="I145" s="9">
        <f t="shared" si="4"/>
        <v>0.27946106502194606</v>
      </c>
      <c r="J145" s="9">
        <f t="shared" si="4"/>
        <v>83.521636096686009</v>
      </c>
      <c r="K145" s="9" t="str">
        <f t="shared" si="4"/>
        <v/>
      </c>
      <c r="L145" s="9" t="str">
        <f t="shared" si="4"/>
        <v/>
      </c>
      <c r="M145" s="9" t="str">
        <f t="shared" si="4"/>
        <v/>
      </c>
      <c r="N145" s="9" t="str">
        <f t="shared" si="4"/>
        <v/>
      </c>
      <c r="O145" s="9" t="str">
        <f t="shared" si="4"/>
        <v/>
      </c>
      <c r="P145" s="9">
        <f t="shared" si="5"/>
        <v>9.6667895327980631</v>
      </c>
    </row>
    <row r="146" spans="4:16" x14ac:dyDescent="0.25">
      <c r="D146" s="9">
        <v>2000</v>
      </c>
      <c r="E146" s="9">
        <f t="shared" si="4"/>
        <v>1.1661321711233836</v>
      </c>
      <c r="F146" s="9">
        <f t="shared" si="4"/>
        <v>-82.21999984716274</v>
      </c>
      <c r="G146" s="9">
        <f t="shared" si="4"/>
        <v>-82.229999846769999</v>
      </c>
      <c r="H146" s="9">
        <f t="shared" si="4"/>
        <v>90.309999978229143</v>
      </c>
      <c r="I146" s="9">
        <f t="shared" si="4"/>
        <v>0.32226004864025465</v>
      </c>
      <c r="J146" s="9">
        <f t="shared" si="4"/>
        <v>83.52999916251791</v>
      </c>
      <c r="K146" s="9" t="str">
        <f t="shared" si="4"/>
        <v/>
      </c>
      <c r="L146" s="9" t="str">
        <f t="shared" si="4"/>
        <v/>
      </c>
      <c r="M146" s="9" t="str">
        <f t="shared" si="4"/>
        <v/>
      </c>
      <c r="N146" s="9" t="str">
        <f t="shared" si="4"/>
        <v/>
      </c>
      <c r="O146" s="9" t="str">
        <f t="shared" si="4"/>
        <v/>
      </c>
      <c r="P146" s="9">
        <f t="shared" si="5"/>
        <v>9.7122594954545747</v>
      </c>
    </row>
    <row r="147" spans="4:16" x14ac:dyDescent="0.25">
      <c r="D147" s="9">
        <v>5000</v>
      </c>
      <c r="E147" s="9">
        <f t="shared" si="4"/>
        <v>2.6583377635468408</v>
      </c>
      <c r="F147" s="9">
        <f t="shared" si="4"/>
        <v>-82.22</v>
      </c>
      <c r="G147" s="9">
        <f t="shared" si="4"/>
        <v>-82.23</v>
      </c>
      <c r="H147" s="9">
        <f t="shared" si="4"/>
        <v>90.31</v>
      </c>
      <c r="I147" s="9">
        <f t="shared" si="4"/>
        <v>0.32997219808771477</v>
      </c>
      <c r="J147" s="9">
        <f t="shared" si="4"/>
        <v>83.53</v>
      </c>
      <c r="K147" s="9" t="str">
        <f t="shared" si="4"/>
        <v/>
      </c>
      <c r="L147" s="9" t="str">
        <f t="shared" si="4"/>
        <v/>
      </c>
      <c r="M147" s="9" t="str">
        <f t="shared" si="4"/>
        <v/>
      </c>
      <c r="N147" s="9" t="str">
        <f t="shared" si="4"/>
        <v/>
      </c>
      <c r="O147" s="9" t="str">
        <f t="shared" si="4"/>
        <v/>
      </c>
      <c r="P147" s="9">
        <f t="shared" si="5"/>
        <v>9.7199721980877314</v>
      </c>
    </row>
    <row r="148" spans="4:16" x14ac:dyDescent="0.25">
      <c r="D148" s="9">
        <v>10000</v>
      </c>
      <c r="E148" s="9">
        <f t="shared" si="4"/>
        <v>4.5896426397377947</v>
      </c>
      <c r="F148" s="9">
        <f t="shared" si="4"/>
        <v>-82.22</v>
      </c>
      <c r="G148" s="9">
        <f t="shared" si="4"/>
        <v>-82.23</v>
      </c>
      <c r="H148" s="9">
        <f t="shared" si="4"/>
        <v>90.31</v>
      </c>
      <c r="I148" s="9">
        <f t="shared" si="4"/>
        <v>0.32999999765773841</v>
      </c>
      <c r="J148" s="9">
        <f t="shared" si="4"/>
        <v>83.53</v>
      </c>
      <c r="K148" s="9" t="str">
        <f t="shared" si="4"/>
        <v/>
      </c>
      <c r="L148" s="9" t="str">
        <f t="shared" si="4"/>
        <v/>
      </c>
      <c r="M148" s="9" t="str">
        <f t="shared" si="4"/>
        <v/>
      </c>
      <c r="N148" s="9" t="str">
        <f t="shared" si="4"/>
        <v/>
      </c>
      <c r="O148" s="9" t="str">
        <f t="shared" si="4"/>
        <v/>
      </c>
      <c r="P148" s="9">
        <f>SUM(F148:O148)</f>
        <v>9.7199999976577516</v>
      </c>
    </row>
  </sheetData>
  <phoneticPr fontId="2" type="noConversion"/>
  <pageMargins left="0.7" right="0.7" top="0.75" bottom="0.75" header="0.3" footer="0.3"/>
  <headerFooter>
    <oddFooter>&amp;C_x000D_&amp;1#&amp;"BMW Group Condensed"&amp;12&amp;KC00000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Mueller Max Valentin, PE-33F</cp:lastModifiedBy>
  <dcterms:created xsi:type="dcterms:W3CDTF">2015-06-05T18:19:34Z</dcterms:created>
  <dcterms:modified xsi:type="dcterms:W3CDTF">2025-05-22T09:17:57Z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2025-05-08T11:30:32Z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385ce2d0-0276-402e-b4cf-c31174a08e95</vt:lpwstr>
  </property>
  <property fmtid="{D5CDD505-2E9C-101B-9397-08002B2CF9AE}" pid="8" name="MSIP_Label_e6935750-240b-48e4-a615-66942a738439_ContentBits">
    <vt:lpwstr>2</vt:lpwstr>
  </property>
</Properties>
</file>