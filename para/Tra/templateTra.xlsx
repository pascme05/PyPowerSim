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Tra/"/>
    </mc:Choice>
  </mc:AlternateContent>
  <xr:revisionPtr revIDLastSave="1977" documentId="11_AD4DB114E441178AC67DF439BED5CE16693EDF27" xr6:coauthVersionLast="47" xr6:coauthVersionMax="47" xr10:uidLastSave="{4C0C07B9-D7DF-4723-9C38-C0323CE276A4}"/>
  <bookViews>
    <workbookView xWindow="-108" yWindow="-108" windowWidth="30936" windowHeight="16776" activeTab="1" xr2:uid="{00000000-000D-0000-FFFF-FFFF00000000}"/>
  </bookViews>
  <sheets>
    <sheet name="readme" sheetId="1" r:id="rId1"/>
    <sheet name="electrical" sheetId="7" r:id="rId2"/>
    <sheet name="thermal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7" l="1"/>
  <c r="C58" i="7"/>
  <c r="C57" i="7"/>
  <c r="C56" i="7"/>
  <c r="C55" i="7"/>
  <c r="C36" i="7"/>
  <c r="C37" i="7"/>
  <c r="C38" i="7"/>
  <c r="C39" i="7"/>
  <c r="C35" i="7"/>
  <c r="F155" i="9" l="1"/>
  <c r="G155" i="9"/>
  <c r="H155" i="9"/>
  <c r="I155" i="9"/>
  <c r="J155" i="9"/>
  <c r="K155" i="9"/>
  <c r="L155" i="9"/>
  <c r="M155" i="9"/>
  <c r="N155" i="9"/>
  <c r="O155" i="9"/>
  <c r="F156" i="9"/>
  <c r="G156" i="9"/>
  <c r="H156" i="9"/>
  <c r="I156" i="9"/>
  <c r="J156" i="9"/>
  <c r="P156" i="9" s="1"/>
  <c r="K156" i="9"/>
  <c r="L156" i="9"/>
  <c r="M156" i="9"/>
  <c r="N156" i="9"/>
  <c r="O156" i="9"/>
  <c r="F157" i="9"/>
  <c r="G157" i="9"/>
  <c r="H157" i="9"/>
  <c r="I157" i="9"/>
  <c r="J157" i="9"/>
  <c r="K157" i="9"/>
  <c r="L157" i="9"/>
  <c r="M157" i="9"/>
  <c r="N157" i="9"/>
  <c r="O157" i="9"/>
  <c r="F158" i="9"/>
  <c r="G158" i="9"/>
  <c r="H158" i="9"/>
  <c r="I158" i="9"/>
  <c r="J158" i="9"/>
  <c r="K158" i="9"/>
  <c r="L158" i="9"/>
  <c r="M158" i="9"/>
  <c r="N158" i="9"/>
  <c r="O158" i="9"/>
  <c r="F159" i="9"/>
  <c r="G159" i="9"/>
  <c r="H159" i="9"/>
  <c r="I159" i="9"/>
  <c r="J159" i="9"/>
  <c r="K159" i="9"/>
  <c r="P159" i="9" s="1"/>
  <c r="L159" i="9"/>
  <c r="M159" i="9"/>
  <c r="N159" i="9"/>
  <c r="O159" i="9"/>
  <c r="F160" i="9"/>
  <c r="P160" i="9" s="1"/>
  <c r="G160" i="9"/>
  <c r="H160" i="9"/>
  <c r="I160" i="9"/>
  <c r="J160" i="9"/>
  <c r="K160" i="9"/>
  <c r="L160" i="9"/>
  <c r="M160" i="9"/>
  <c r="N160" i="9"/>
  <c r="O160" i="9"/>
  <c r="F161" i="9"/>
  <c r="G161" i="9"/>
  <c r="H161" i="9"/>
  <c r="I161" i="9"/>
  <c r="J161" i="9"/>
  <c r="K161" i="9"/>
  <c r="L161" i="9"/>
  <c r="M161" i="9"/>
  <c r="N161" i="9"/>
  <c r="O161" i="9"/>
  <c r="F162" i="9"/>
  <c r="G162" i="9"/>
  <c r="H162" i="9"/>
  <c r="I162" i="9"/>
  <c r="J162" i="9"/>
  <c r="K162" i="9"/>
  <c r="L162" i="9"/>
  <c r="M162" i="9"/>
  <c r="N162" i="9"/>
  <c r="O162" i="9"/>
  <c r="F163" i="9"/>
  <c r="G163" i="9"/>
  <c r="H163" i="9"/>
  <c r="I163" i="9"/>
  <c r="J163" i="9"/>
  <c r="K163" i="9"/>
  <c r="L163" i="9"/>
  <c r="M163" i="9"/>
  <c r="N163" i="9"/>
  <c r="O163" i="9"/>
  <c r="F164" i="9"/>
  <c r="P164" i="9" s="1"/>
  <c r="G164" i="9"/>
  <c r="H164" i="9"/>
  <c r="I164" i="9"/>
  <c r="J164" i="9"/>
  <c r="K164" i="9"/>
  <c r="L164" i="9"/>
  <c r="M164" i="9"/>
  <c r="N164" i="9"/>
  <c r="O164" i="9"/>
  <c r="F165" i="9"/>
  <c r="G165" i="9"/>
  <c r="H165" i="9"/>
  <c r="I165" i="9"/>
  <c r="J165" i="9"/>
  <c r="K165" i="9"/>
  <c r="L165" i="9"/>
  <c r="M165" i="9"/>
  <c r="N165" i="9"/>
  <c r="O165" i="9"/>
  <c r="F166" i="9"/>
  <c r="G166" i="9"/>
  <c r="H166" i="9"/>
  <c r="I166" i="9"/>
  <c r="J166" i="9"/>
  <c r="K166" i="9"/>
  <c r="L166" i="9"/>
  <c r="M166" i="9"/>
  <c r="N166" i="9"/>
  <c r="O166" i="9"/>
  <c r="F167" i="9"/>
  <c r="G167" i="9"/>
  <c r="H167" i="9"/>
  <c r="P167" i="9" s="1"/>
  <c r="I167" i="9"/>
  <c r="J167" i="9"/>
  <c r="K167" i="9"/>
  <c r="L167" i="9"/>
  <c r="M167" i="9"/>
  <c r="N167" i="9"/>
  <c r="O167" i="9"/>
  <c r="F168" i="9"/>
  <c r="G168" i="9"/>
  <c r="H168" i="9"/>
  <c r="I168" i="9"/>
  <c r="J168" i="9"/>
  <c r="K168" i="9"/>
  <c r="L168" i="9"/>
  <c r="M168" i="9"/>
  <c r="N168" i="9"/>
  <c r="O168" i="9"/>
  <c r="F169" i="9"/>
  <c r="G169" i="9"/>
  <c r="H169" i="9"/>
  <c r="I169" i="9"/>
  <c r="J169" i="9"/>
  <c r="K169" i="9"/>
  <c r="L169" i="9"/>
  <c r="M169" i="9"/>
  <c r="N169" i="9"/>
  <c r="O169" i="9"/>
  <c r="F170" i="9"/>
  <c r="G170" i="9"/>
  <c r="H170" i="9"/>
  <c r="I170" i="9"/>
  <c r="J170" i="9"/>
  <c r="K170" i="9"/>
  <c r="L170" i="9"/>
  <c r="M170" i="9"/>
  <c r="N170" i="9"/>
  <c r="O170" i="9"/>
  <c r="F171" i="9"/>
  <c r="G171" i="9"/>
  <c r="H171" i="9"/>
  <c r="I171" i="9"/>
  <c r="J171" i="9"/>
  <c r="K171" i="9"/>
  <c r="L171" i="9"/>
  <c r="M171" i="9"/>
  <c r="N171" i="9"/>
  <c r="O171" i="9"/>
  <c r="F172" i="9"/>
  <c r="P172" i="9" s="1"/>
  <c r="G172" i="9"/>
  <c r="H172" i="9"/>
  <c r="I172" i="9"/>
  <c r="J172" i="9"/>
  <c r="K172" i="9"/>
  <c r="L172" i="9"/>
  <c r="M172" i="9"/>
  <c r="N172" i="9"/>
  <c r="O172" i="9"/>
  <c r="F173" i="9"/>
  <c r="G173" i="9"/>
  <c r="H173" i="9"/>
  <c r="I173" i="9"/>
  <c r="J173" i="9"/>
  <c r="P173" i="9" s="1"/>
  <c r="K173" i="9"/>
  <c r="L173" i="9"/>
  <c r="M173" i="9"/>
  <c r="N173" i="9"/>
  <c r="O173" i="9"/>
  <c r="F174" i="9"/>
  <c r="G174" i="9"/>
  <c r="H174" i="9"/>
  <c r="I174" i="9"/>
  <c r="J174" i="9"/>
  <c r="K174" i="9"/>
  <c r="L174" i="9"/>
  <c r="M174" i="9"/>
  <c r="N174" i="9"/>
  <c r="O174" i="9"/>
  <c r="F175" i="9"/>
  <c r="P175" i="9" s="1"/>
  <c r="G175" i="9"/>
  <c r="H175" i="9"/>
  <c r="I175" i="9"/>
  <c r="J175" i="9"/>
  <c r="K175" i="9"/>
  <c r="L175" i="9"/>
  <c r="M175" i="9"/>
  <c r="N175" i="9"/>
  <c r="O175" i="9"/>
  <c r="G154" i="9"/>
  <c r="H154" i="9"/>
  <c r="I154" i="9"/>
  <c r="J154" i="9"/>
  <c r="K154" i="9"/>
  <c r="L154" i="9"/>
  <c r="M154" i="9"/>
  <c r="N154" i="9"/>
  <c r="O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P168" i="9"/>
  <c r="E169" i="9"/>
  <c r="E170" i="9"/>
  <c r="E171" i="9"/>
  <c r="E172" i="9"/>
  <c r="E173" i="9"/>
  <c r="E174" i="9"/>
  <c r="E175" i="9"/>
  <c r="F154" i="9"/>
  <c r="E154" i="9"/>
  <c r="P171" i="9"/>
  <c r="P163" i="9"/>
  <c r="P157" i="9"/>
  <c r="P155" i="9"/>
  <c r="P154" i="9"/>
  <c r="A184" i="7"/>
  <c r="A183" i="7"/>
  <c r="A182" i="7"/>
  <c r="A181" i="7"/>
  <c r="A180" i="7"/>
  <c r="A179" i="7"/>
  <c r="A178" i="7"/>
  <c r="A177" i="7"/>
  <c r="A176" i="7"/>
  <c r="A175" i="7"/>
  <c r="A164" i="7"/>
  <c r="A163" i="7"/>
  <c r="A162" i="7"/>
  <c r="A161" i="7"/>
  <c r="A160" i="7"/>
  <c r="A159" i="7"/>
  <c r="A158" i="7"/>
  <c r="A157" i="7"/>
  <c r="A156" i="7"/>
  <c r="A155" i="7"/>
  <c r="A144" i="7"/>
  <c r="A143" i="7"/>
  <c r="A142" i="7"/>
  <c r="A141" i="7"/>
  <c r="A140" i="7"/>
  <c r="A139" i="7"/>
  <c r="A138" i="7"/>
  <c r="A137" i="7"/>
  <c r="A136" i="7"/>
  <c r="A135" i="7"/>
  <c r="A104" i="7"/>
  <c r="A103" i="7"/>
  <c r="A102" i="7"/>
  <c r="A101" i="7"/>
  <c r="A100" i="7"/>
  <c r="A99" i="7"/>
  <c r="A98" i="7"/>
  <c r="A97" i="7"/>
  <c r="A96" i="7"/>
  <c r="A95" i="7"/>
  <c r="A84" i="7"/>
  <c r="A83" i="7"/>
  <c r="A82" i="7"/>
  <c r="A81" i="7"/>
  <c r="A80" i="7"/>
  <c r="A79" i="7"/>
  <c r="A78" i="7"/>
  <c r="A77" i="7"/>
  <c r="A76" i="7"/>
  <c r="A75" i="7"/>
  <c r="P170" i="9" l="1"/>
  <c r="P161" i="9"/>
  <c r="P174" i="9"/>
  <c r="P162" i="9"/>
  <c r="P169" i="9"/>
  <c r="P166" i="9"/>
  <c r="P165" i="9"/>
  <c r="P158" i="9"/>
  <c r="K174" i="7"/>
  <c r="J174" i="7"/>
  <c r="I174" i="7"/>
  <c r="H174" i="7"/>
  <c r="G174" i="7"/>
  <c r="F174" i="7"/>
  <c r="E174" i="7"/>
  <c r="D174" i="7"/>
  <c r="C174" i="7"/>
  <c r="B174" i="7"/>
  <c r="K154" i="7"/>
  <c r="J154" i="7"/>
  <c r="I154" i="7"/>
  <c r="H154" i="7"/>
  <c r="G154" i="7"/>
  <c r="F154" i="7"/>
  <c r="E154" i="7"/>
  <c r="D154" i="7"/>
  <c r="C154" i="7"/>
  <c r="B154" i="7"/>
  <c r="A124" i="7"/>
  <c r="A123" i="7"/>
  <c r="E182" i="9"/>
  <c r="F182" i="9"/>
  <c r="G182" i="9"/>
  <c r="H182" i="9"/>
  <c r="I182" i="9"/>
  <c r="J182" i="9"/>
  <c r="K182" i="9"/>
  <c r="L182" i="9"/>
  <c r="M182" i="9"/>
  <c r="N182" i="9"/>
  <c r="O182" i="9"/>
  <c r="E183" i="9"/>
  <c r="F183" i="9"/>
  <c r="G183" i="9"/>
  <c r="H183" i="9"/>
  <c r="I183" i="9"/>
  <c r="J183" i="9"/>
  <c r="K183" i="9"/>
  <c r="L183" i="9"/>
  <c r="M183" i="9"/>
  <c r="N183" i="9"/>
  <c r="O183" i="9"/>
  <c r="E184" i="9"/>
  <c r="F184" i="9"/>
  <c r="G184" i="9"/>
  <c r="H184" i="9"/>
  <c r="I184" i="9"/>
  <c r="J184" i="9"/>
  <c r="K184" i="9"/>
  <c r="L184" i="9"/>
  <c r="M184" i="9"/>
  <c r="N184" i="9"/>
  <c r="O184" i="9"/>
  <c r="E185" i="9"/>
  <c r="F185" i="9"/>
  <c r="G185" i="9"/>
  <c r="H185" i="9"/>
  <c r="I185" i="9"/>
  <c r="J185" i="9"/>
  <c r="K185" i="9"/>
  <c r="L185" i="9"/>
  <c r="M185" i="9"/>
  <c r="N185" i="9"/>
  <c r="O185" i="9"/>
  <c r="E186" i="9"/>
  <c r="F186" i="9"/>
  <c r="G186" i="9"/>
  <c r="H186" i="9"/>
  <c r="I186" i="9"/>
  <c r="J186" i="9"/>
  <c r="K186" i="9"/>
  <c r="L186" i="9"/>
  <c r="M186" i="9"/>
  <c r="N186" i="9"/>
  <c r="O186" i="9"/>
  <c r="E187" i="9"/>
  <c r="F187" i="9"/>
  <c r="G187" i="9"/>
  <c r="H187" i="9"/>
  <c r="I187" i="9"/>
  <c r="J187" i="9"/>
  <c r="K187" i="9"/>
  <c r="L187" i="9"/>
  <c r="M187" i="9"/>
  <c r="N187" i="9"/>
  <c r="O187" i="9"/>
  <c r="E188" i="9"/>
  <c r="F188" i="9"/>
  <c r="G188" i="9"/>
  <c r="H188" i="9"/>
  <c r="I188" i="9"/>
  <c r="J188" i="9"/>
  <c r="K188" i="9"/>
  <c r="L188" i="9"/>
  <c r="M188" i="9"/>
  <c r="N188" i="9"/>
  <c r="O188" i="9"/>
  <c r="E189" i="9"/>
  <c r="F189" i="9"/>
  <c r="G189" i="9"/>
  <c r="H189" i="9"/>
  <c r="I189" i="9"/>
  <c r="J189" i="9"/>
  <c r="K189" i="9"/>
  <c r="L189" i="9"/>
  <c r="M189" i="9"/>
  <c r="N189" i="9"/>
  <c r="O189" i="9"/>
  <c r="E190" i="9"/>
  <c r="F190" i="9"/>
  <c r="G190" i="9"/>
  <c r="H190" i="9"/>
  <c r="I190" i="9"/>
  <c r="J190" i="9"/>
  <c r="K190" i="9"/>
  <c r="L190" i="9"/>
  <c r="M190" i="9"/>
  <c r="N190" i="9"/>
  <c r="O190" i="9"/>
  <c r="E191" i="9"/>
  <c r="F191" i="9"/>
  <c r="G191" i="9"/>
  <c r="H191" i="9"/>
  <c r="I191" i="9"/>
  <c r="J191" i="9"/>
  <c r="K191" i="9"/>
  <c r="L191" i="9"/>
  <c r="M191" i="9"/>
  <c r="N191" i="9"/>
  <c r="O191" i="9"/>
  <c r="E192" i="9"/>
  <c r="F192" i="9"/>
  <c r="G192" i="9"/>
  <c r="H192" i="9"/>
  <c r="I192" i="9"/>
  <c r="J192" i="9"/>
  <c r="K192" i="9"/>
  <c r="L192" i="9"/>
  <c r="M192" i="9"/>
  <c r="N192" i="9"/>
  <c r="O192" i="9"/>
  <c r="E193" i="9"/>
  <c r="F193" i="9"/>
  <c r="G193" i="9"/>
  <c r="H193" i="9"/>
  <c r="I193" i="9"/>
  <c r="J193" i="9"/>
  <c r="K193" i="9"/>
  <c r="L193" i="9"/>
  <c r="M193" i="9"/>
  <c r="N193" i="9"/>
  <c r="O193" i="9"/>
  <c r="E194" i="9"/>
  <c r="F194" i="9"/>
  <c r="G194" i="9"/>
  <c r="H194" i="9"/>
  <c r="I194" i="9"/>
  <c r="J194" i="9"/>
  <c r="K194" i="9"/>
  <c r="L194" i="9"/>
  <c r="M194" i="9"/>
  <c r="N194" i="9"/>
  <c r="O194" i="9"/>
  <c r="E195" i="9"/>
  <c r="F195" i="9"/>
  <c r="G195" i="9"/>
  <c r="H195" i="9"/>
  <c r="I195" i="9"/>
  <c r="J195" i="9"/>
  <c r="K195" i="9"/>
  <c r="L195" i="9"/>
  <c r="M195" i="9"/>
  <c r="N195" i="9"/>
  <c r="O195" i="9"/>
  <c r="E196" i="9"/>
  <c r="F196" i="9"/>
  <c r="G196" i="9"/>
  <c r="H196" i="9"/>
  <c r="I196" i="9"/>
  <c r="J196" i="9"/>
  <c r="K196" i="9"/>
  <c r="L196" i="9"/>
  <c r="M196" i="9"/>
  <c r="N196" i="9"/>
  <c r="O196" i="9"/>
  <c r="E197" i="9"/>
  <c r="F197" i="9"/>
  <c r="G197" i="9"/>
  <c r="H197" i="9"/>
  <c r="I197" i="9"/>
  <c r="J197" i="9"/>
  <c r="K197" i="9"/>
  <c r="L197" i="9"/>
  <c r="M197" i="9"/>
  <c r="N197" i="9"/>
  <c r="O197" i="9"/>
  <c r="E198" i="9"/>
  <c r="F198" i="9"/>
  <c r="G198" i="9"/>
  <c r="H198" i="9"/>
  <c r="I198" i="9"/>
  <c r="J198" i="9"/>
  <c r="K198" i="9"/>
  <c r="L198" i="9"/>
  <c r="M198" i="9"/>
  <c r="N198" i="9"/>
  <c r="O198" i="9"/>
  <c r="E199" i="9"/>
  <c r="F199" i="9"/>
  <c r="G199" i="9"/>
  <c r="H199" i="9"/>
  <c r="I199" i="9"/>
  <c r="J199" i="9"/>
  <c r="K199" i="9"/>
  <c r="L199" i="9"/>
  <c r="M199" i="9"/>
  <c r="N199" i="9"/>
  <c r="O199" i="9"/>
  <c r="E200" i="9"/>
  <c r="F200" i="9"/>
  <c r="G200" i="9"/>
  <c r="H200" i="9"/>
  <c r="I200" i="9"/>
  <c r="J200" i="9"/>
  <c r="K200" i="9"/>
  <c r="L200" i="9"/>
  <c r="M200" i="9"/>
  <c r="N200" i="9"/>
  <c r="O200" i="9"/>
  <c r="E201" i="9"/>
  <c r="F201" i="9"/>
  <c r="G201" i="9"/>
  <c r="H201" i="9"/>
  <c r="I201" i="9"/>
  <c r="J201" i="9"/>
  <c r="K201" i="9"/>
  <c r="L201" i="9"/>
  <c r="M201" i="9"/>
  <c r="N201" i="9"/>
  <c r="O201" i="9"/>
  <c r="E202" i="9"/>
  <c r="F202" i="9"/>
  <c r="G202" i="9"/>
  <c r="H202" i="9"/>
  <c r="I202" i="9"/>
  <c r="J202" i="9"/>
  <c r="K202" i="9"/>
  <c r="L202" i="9"/>
  <c r="M202" i="9"/>
  <c r="N202" i="9"/>
  <c r="O202" i="9"/>
  <c r="F181" i="9"/>
  <c r="G181" i="9"/>
  <c r="H181" i="9"/>
  <c r="I181" i="9"/>
  <c r="J181" i="9"/>
  <c r="K181" i="9"/>
  <c r="L181" i="9"/>
  <c r="M181" i="9"/>
  <c r="N181" i="9"/>
  <c r="O181" i="9"/>
  <c r="E181" i="9"/>
  <c r="O148" i="9"/>
  <c r="N148" i="9"/>
  <c r="M148" i="9"/>
  <c r="L148" i="9"/>
  <c r="K148" i="9"/>
  <c r="J148" i="9"/>
  <c r="I148" i="9"/>
  <c r="H148" i="9"/>
  <c r="G148" i="9"/>
  <c r="F148" i="9"/>
  <c r="E148" i="9"/>
  <c r="O147" i="9"/>
  <c r="N147" i="9"/>
  <c r="M147" i="9"/>
  <c r="L147" i="9"/>
  <c r="K147" i="9"/>
  <c r="J147" i="9"/>
  <c r="I147" i="9"/>
  <c r="H147" i="9"/>
  <c r="G147" i="9"/>
  <c r="F147" i="9"/>
  <c r="E147" i="9"/>
  <c r="O146" i="9"/>
  <c r="N146" i="9"/>
  <c r="M146" i="9"/>
  <c r="L146" i="9"/>
  <c r="K146" i="9"/>
  <c r="J146" i="9"/>
  <c r="I146" i="9"/>
  <c r="H146" i="9"/>
  <c r="G146" i="9"/>
  <c r="F146" i="9"/>
  <c r="E146" i="9"/>
  <c r="O145" i="9"/>
  <c r="N145" i="9"/>
  <c r="M145" i="9"/>
  <c r="L145" i="9"/>
  <c r="K145" i="9"/>
  <c r="J145" i="9"/>
  <c r="I145" i="9"/>
  <c r="H145" i="9"/>
  <c r="G145" i="9"/>
  <c r="F145" i="9"/>
  <c r="E145" i="9"/>
  <c r="O144" i="9"/>
  <c r="N144" i="9"/>
  <c r="M144" i="9"/>
  <c r="L144" i="9"/>
  <c r="K144" i="9"/>
  <c r="J144" i="9"/>
  <c r="I144" i="9"/>
  <c r="H144" i="9"/>
  <c r="G144" i="9"/>
  <c r="F144" i="9"/>
  <c r="E144" i="9"/>
  <c r="O143" i="9"/>
  <c r="N143" i="9"/>
  <c r="M143" i="9"/>
  <c r="L143" i="9"/>
  <c r="K143" i="9"/>
  <c r="J143" i="9"/>
  <c r="I143" i="9"/>
  <c r="H143" i="9"/>
  <c r="G143" i="9"/>
  <c r="F143" i="9"/>
  <c r="E143" i="9"/>
  <c r="O142" i="9"/>
  <c r="N142" i="9"/>
  <c r="M142" i="9"/>
  <c r="L142" i="9"/>
  <c r="K142" i="9"/>
  <c r="J142" i="9"/>
  <c r="I142" i="9"/>
  <c r="H142" i="9"/>
  <c r="G142" i="9"/>
  <c r="F142" i="9"/>
  <c r="E142" i="9"/>
  <c r="O141" i="9"/>
  <c r="N141" i="9"/>
  <c r="M141" i="9"/>
  <c r="L141" i="9"/>
  <c r="K141" i="9"/>
  <c r="J141" i="9"/>
  <c r="I141" i="9"/>
  <c r="H141" i="9"/>
  <c r="G141" i="9"/>
  <c r="F141" i="9"/>
  <c r="E141" i="9"/>
  <c r="O140" i="9"/>
  <c r="N140" i="9"/>
  <c r="M140" i="9"/>
  <c r="L140" i="9"/>
  <c r="K140" i="9"/>
  <c r="J140" i="9"/>
  <c r="I140" i="9"/>
  <c r="H140" i="9"/>
  <c r="G140" i="9"/>
  <c r="F140" i="9"/>
  <c r="E140" i="9"/>
  <c r="O139" i="9"/>
  <c r="N139" i="9"/>
  <c r="M139" i="9"/>
  <c r="L139" i="9"/>
  <c r="K139" i="9"/>
  <c r="J139" i="9"/>
  <c r="I139" i="9"/>
  <c r="H139" i="9"/>
  <c r="G139" i="9"/>
  <c r="F139" i="9"/>
  <c r="E139" i="9"/>
  <c r="O138" i="9"/>
  <c r="N138" i="9"/>
  <c r="M138" i="9"/>
  <c r="L138" i="9"/>
  <c r="K138" i="9"/>
  <c r="J138" i="9"/>
  <c r="I138" i="9"/>
  <c r="H138" i="9"/>
  <c r="G138" i="9"/>
  <c r="F138" i="9"/>
  <c r="E138" i="9"/>
  <c r="O137" i="9"/>
  <c r="N137" i="9"/>
  <c r="M137" i="9"/>
  <c r="L137" i="9"/>
  <c r="K137" i="9"/>
  <c r="J137" i="9"/>
  <c r="I137" i="9"/>
  <c r="H137" i="9"/>
  <c r="G137" i="9"/>
  <c r="F137" i="9"/>
  <c r="E137" i="9"/>
  <c r="O136" i="9"/>
  <c r="N136" i="9"/>
  <c r="M136" i="9"/>
  <c r="L136" i="9"/>
  <c r="K136" i="9"/>
  <c r="J136" i="9"/>
  <c r="I136" i="9"/>
  <c r="H136" i="9"/>
  <c r="G136" i="9"/>
  <c r="F136" i="9"/>
  <c r="E136" i="9"/>
  <c r="O135" i="9"/>
  <c r="N135" i="9"/>
  <c r="M135" i="9"/>
  <c r="L135" i="9"/>
  <c r="K135" i="9"/>
  <c r="J135" i="9"/>
  <c r="I135" i="9"/>
  <c r="H135" i="9"/>
  <c r="G135" i="9"/>
  <c r="F135" i="9"/>
  <c r="E135" i="9"/>
  <c r="O134" i="9"/>
  <c r="N134" i="9"/>
  <c r="M134" i="9"/>
  <c r="L134" i="9"/>
  <c r="K134" i="9"/>
  <c r="J134" i="9"/>
  <c r="I134" i="9"/>
  <c r="H134" i="9"/>
  <c r="G134" i="9"/>
  <c r="F134" i="9"/>
  <c r="E134" i="9"/>
  <c r="O133" i="9"/>
  <c r="N133" i="9"/>
  <c r="M133" i="9"/>
  <c r="L133" i="9"/>
  <c r="K133" i="9"/>
  <c r="J133" i="9"/>
  <c r="I133" i="9"/>
  <c r="H133" i="9"/>
  <c r="G133" i="9"/>
  <c r="F133" i="9"/>
  <c r="E133" i="9"/>
  <c r="O132" i="9"/>
  <c r="N132" i="9"/>
  <c r="M132" i="9"/>
  <c r="L132" i="9"/>
  <c r="K132" i="9"/>
  <c r="J132" i="9"/>
  <c r="I132" i="9"/>
  <c r="H132" i="9"/>
  <c r="G132" i="9"/>
  <c r="F132" i="9"/>
  <c r="E132" i="9"/>
  <c r="O131" i="9"/>
  <c r="N131" i="9"/>
  <c r="M131" i="9"/>
  <c r="L131" i="9"/>
  <c r="K131" i="9"/>
  <c r="J131" i="9"/>
  <c r="I131" i="9"/>
  <c r="H131" i="9"/>
  <c r="G131" i="9"/>
  <c r="F131" i="9"/>
  <c r="E131" i="9"/>
  <c r="O130" i="9"/>
  <c r="N130" i="9"/>
  <c r="M130" i="9"/>
  <c r="L130" i="9"/>
  <c r="K130" i="9"/>
  <c r="J130" i="9"/>
  <c r="I130" i="9"/>
  <c r="H130" i="9"/>
  <c r="G130" i="9"/>
  <c r="F130" i="9"/>
  <c r="E130" i="9"/>
  <c r="O129" i="9"/>
  <c r="N129" i="9"/>
  <c r="M129" i="9"/>
  <c r="L129" i="9"/>
  <c r="K129" i="9"/>
  <c r="J129" i="9"/>
  <c r="I129" i="9"/>
  <c r="H129" i="9"/>
  <c r="G129" i="9"/>
  <c r="F129" i="9"/>
  <c r="E129" i="9"/>
  <c r="O128" i="9"/>
  <c r="N128" i="9"/>
  <c r="M128" i="9"/>
  <c r="L128" i="9"/>
  <c r="K128" i="9"/>
  <c r="J128" i="9"/>
  <c r="I128" i="9"/>
  <c r="H128" i="9"/>
  <c r="G128" i="9"/>
  <c r="F128" i="9"/>
  <c r="E128" i="9"/>
  <c r="O127" i="9"/>
  <c r="N127" i="9"/>
  <c r="M127" i="9"/>
  <c r="L127" i="9"/>
  <c r="K127" i="9"/>
  <c r="J127" i="9"/>
  <c r="I127" i="9"/>
  <c r="H127" i="9"/>
  <c r="G127" i="9"/>
  <c r="F127" i="9"/>
  <c r="E127" i="9"/>
  <c r="O121" i="9"/>
  <c r="N121" i="9"/>
  <c r="M121" i="9"/>
  <c r="L121" i="9"/>
  <c r="K121" i="9"/>
  <c r="J121" i="9"/>
  <c r="I121" i="9"/>
  <c r="H121" i="9"/>
  <c r="G121" i="9"/>
  <c r="F121" i="9"/>
  <c r="E121" i="9"/>
  <c r="O120" i="9"/>
  <c r="N120" i="9"/>
  <c r="M120" i="9"/>
  <c r="L120" i="9"/>
  <c r="K120" i="9"/>
  <c r="J120" i="9"/>
  <c r="I120" i="9"/>
  <c r="H120" i="9"/>
  <c r="G120" i="9"/>
  <c r="F120" i="9"/>
  <c r="E120" i="9"/>
  <c r="O119" i="9"/>
  <c r="N119" i="9"/>
  <c r="M119" i="9"/>
  <c r="L119" i="9"/>
  <c r="K119" i="9"/>
  <c r="J119" i="9"/>
  <c r="I119" i="9"/>
  <c r="H119" i="9"/>
  <c r="G119" i="9"/>
  <c r="F119" i="9"/>
  <c r="E119" i="9"/>
  <c r="O118" i="9"/>
  <c r="N118" i="9"/>
  <c r="M118" i="9"/>
  <c r="L118" i="9"/>
  <c r="K118" i="9"/>
  <c r="J118" i="9"/>
  <c r="I118" i="9"/>
  <c r="H118" i="9"/>
  <c r="G118" i="9"/>
  <c r="F118" i="9"/>
  <c r="E118" i="9"/>
  <c r="O117" i="9"/>
  <c r="N117" i="9"/>
  <c r="M117" i="9"/>
  <c r="L117" i="9"/>
  <c r="K117" i="9"/>
  <c r="J117" i="9"/>
  <c r="I117" i="9"/>
  <c r="H117" i="9"/>
  <c r="G117" i="9"/>
  <c r="F117" i="9"/>
  <c r="E117" i="9"/>
  <c r="O116" i="9"/>
  <c r="N116" i="9"/>
  <c r="M116" i="9"/>
  <c r="L116" i="9"/>
  <c r="K116" i="9"/>
  <c r="J116" i="9"/>
  <c r="I116" i="9"/>
  <c r="H116" i="9"/>
  <c r="G116" i="9"/>
  <c r="F116" i="9"/>
  <c r="E116" i="9"/>
  <c r="O115" i="9"/>
  <c r="N115" i="9"/>
  <c r="M115" i="9"/>
  <c r="L115" i="9"/>
  <c r="K115" i="9"/>
  <c r="J115" i="9"/>
  <c r="I115" i="9"/>
  <c r="H115" i="9"/>
  <c r="G115" i="9"/>
  <c r="F115" i="9"/>
  <c r="E115" i="9"/>
  <c r="O114" i="9"/>
  <c r="N114" i="9"/>
  <c r="M114" i="9"/>
  <c r="L114" i="9"/>
  <c r="K114" i="9"/>
  <c r="J114" i="9"/>
  <c r="I114" i="9"/>
  <c r="H114" i="9"/>
  <c r="G114" i="9"/>
  <c r="F114" i="9"/>
  <c r="E114" i="9"/>
  <c r="O113" i="9"/>
  <c r="N113" i="9"/>
  <c r="M113" i="9"/>
  <c r="L113" i="9"/>
  <c r="K113" i="9"/>
  <c r="J113" i="9"/>
  <c r="I113" i="9"/>
  <c r="H113" i="9"/>
  <c r="G113" i="9"/>
  <c r="F113" i="9"/>
  <c r="E113" i="9"/>
  <c r="O112" i="9"/>
  <c r="N112" i="9"/>
  <c r="M112" i="9"/>
  <c r="L112" i="9"/>
  <c r="K112" i="9"/>
  <c r="J112" i="9"/>
  <c r="I112" i="9"/>
  <c r="H112" i="9"/>
  <c r="G112" i="9"/>
  <c r="F112" i="9"/>
  <c r="E112" i="9"/>
  <c r="O111" i="9"/>
  <c r="N111" i="9"/>
  <c r="M111" i="9"/>
  <c r="L111" i="9"/>
  <c r="K111" i="9"/>
  <c r="J111" i="9"/>
  <c r="I111" i="9"/>
  <c r="H111" i="9"/>
  <c r="G111" i="9"/>
  <c r="F111" i="9"/>
  <c r="E111" i="9"/>
  <c r="O110" i="9"/>
  <c r="N110" i="9"/>
  <c r="M110" i="9"/>
  <c r="L110" i="9"/>
  <c r="K110" i="9"/>
  <c r="J110" i="9"/>
  <c r="I110" i="9"/>
  <c r="H110" i="9"/>
  <c r="G110" i="9"/>
  <c r="F110" i="9"/>
  <c r="E110" i="9"/>
  <c r="O109" i="9"/>
  <c r="N109" i="9"/>
  <c r="M109" i="9"/>
  <c r="L109" i="9"/>
  <c r="K109" i="9"/>
  <c r="J109" i="9"/>
  <c r="I109" i="9"/>
  <c r="H109" i="9"/>
  <c r="G109" i="9"/>
  <c r="F109" i="9"/>
  <c r="E109" i="9"/>
  <c r="O108" i="9"/>
  <c r="N108" i="9"/>
  <c r="M108" i="9"/>
  <c r="L108" i="9"/>
  <c r="K108" i="9"/>
  <c r="J108" i="9"/>
  <c r="I108" i="9"/>
  <c r="H108" i="9"/>
  <c r="G108" i="9"/>
  <c r="F108" i="9"/>
  <c r="E108" i="9"/>
  <c r="O107" i="9"/>
  <c r="N107" i="9"/>
  <c r="M107" i="9"/>
  <c r="L107" i="9"/>
  <c r="K107" i="9"/>
  <c r="J107" i="9"/>
  <c r="I107" i="9"/>
  <c r="H107" i="9"/>
  <c r="G107" i="9"/>
  <c r="F107" i="9"/>
  <c r="E107" i="9"/>
  <c r="O106" i="9"/>
  <c r="N106" i="9"/>
  <c r="M106" i="9"/>
  <c r="L106" i="9"/>
  <c r="K106" i="9"/>
  <c r="J106" i="9"/>
  <c r="I106" i="9"/>
  <c r="H106" i="9"/>
  <c r="G106" i="9"/>
  <c r="F106" i="9"/>
  <c r="E106" i="9"/>
  <c r="O105" i="9"/>
  <c r="N105" i="9"/>
  <c r="M105" i="9"/>
  <c r="L105" i="9"/>
  <c r="K105" i="9"/>
  <c r="J105" i="9"/>
  <c r="I105" i="9"/>
  <c r="H105" i="9"/>
  <c r="G105" i="9"/>
  <c r="F105" i="9"/>
  <c r="E105" i="9"/>
  <c r="O104" i="9"/>
  <c r="N104" i="9"/>
  <c r="M104" i="9"/>
  <c r="L104" i="9"/>
  <c r="K104" i="9"/>
  <c r="J104" i="9"/>
  <c r="I104" i="9"/>
  <c r="H104" i="9"/>
  <c r="G104" i="9"/>
  <c r="F104" i="9"/>
  <c r="E104" i="9"/>
  <c r="O103" i="9"/>
  <c r="N103" i="9"/>
  <c r="M103" i="9"/>
  <c r="L103" i="9"/>
  <c r="K103" i="9"/>
  <c r="J103" i="9"/>
  <c r="I103" i="9"/>
  <c r="H103" i="9"/>
  <c r="G103" i="9"/>
  <c r="F103" i="9"/>
  <c r="E103" i="9"/>
  <c r="O102" i="9"/>
  <c r="N102" i="9"/>
  <c r="M102" i="9"/>
  <c r="L102" i="9"/>
  <c r="K102" i="9"/>
  <c r="J102" i="9"/>
  <c r="I102" i="9"/>
  <c r="H102" i="9"/>
  <c r="G102" i="9"/>
  <c r="F102" i="9"/>
  <c r="E102" i="9"/>
  <c r="O101" i="9"/>
  <c r="N101" i="9"/>
  <c r="M101" i="9"/>
  <c r="L101" i="9"/>
  <c r="K101" i="9"/>
  <c r="J101" i="9"/>
  <c r="I101" i="9"/>
  <c r="H101" i="9"/>
  <c r="G101" i="9"/>
  <c r="F101" i="9"/>
  <c r="E101" i="9"/>
  <c r="O100" i="9"/>
  <c r="N100" i="9"/>
  <c r="M100" i="9"/>
  <c r="L100" i="9"/>
  <c r="K100" i="9"/>
  <c r="J100" i="9"/>
  <c r="I100" i="9"/>
  <c r="H100" i="9"/>
  <c r="G100" i="9"/>
  <c r="F100" i="9"/>
  <c r="E100" i="9"/>
  <c r="K134" i="7"/>
  <c r="J134" i="7"/>
  <c r="I134" i="7"/>
  <c r="H134" i="7"/>
  <c r="G134" i="7"/>
  <c r="F134" i="7"/>
  <c r="E134" i="7"/>
  <c r="D134" i="7"/>
  <c r="C134" i="7"/>
  <c r="B134" i="7"/>
  <c r="B114" i="7"/>
  <c r="C114" i="7"/>
  <c r="B94" i="7"/>
  <c r="C94" i="7"/>
  <c r="B74" i="7"/>
  <c r="C74" i="7"/>
  <c r="B54" i="7"/>
  <c r="C54" i="7"/>
  <c r="B34" i="7"/>
  <c r="C34" i="7"/>
  <c r="A122" i="7"/>
  <c r="A121" i="7"/>
  <c r="A120" i="7"/>
  <c r="A119" i="7"/>
  <c r="A118" i="7"/>
  <c r="A117" i="7"/>
  <c r="A116" i="7"/>
  <c r="A115" i="7"/>
  <c r="K114" i="7"/>
  <c r="J114" i="7"/>
  <c r="I114" i="7"/>
  <c r="H114" i="7"/>
  <c r="G114" i="7"/>
  <c r="F114" i="7"/>
  <c r="E114" i="7"/>
  <c r="D114" i="7"/>
  <c r="K94" i="7"/>
  <c r="J94" i="7"/>
  <c r="I94" i="7"/>
  <c r="H94" i="7"/>
  <c r="G94" i="7"/>
  <c r="F94" i="7"/>
  <c r="E94" i="7"/>
  <c r="D94" i="7"/>
  <c r="K74" i="7"/>
  <c r="J74" i="7"/>
  <c r="I74" i="7"/>
  <c r="H74" i="7"/>
  <c r="G74" i="7"/>
  <c r="F74" i="7"/>
  <c r="E74" i="7"/>
  <c r="D74" i="7"/>
  <c r="K54" i="7"/>
  <c r="J54" i="7"/>
  <c r="I54" i="7"/>
  <c r="H54" i="7"/>
  <c r="G54" i="7"/>
  <c r="F54" i="7"/>
  <c r="E54" i="7"/>
  <c r="D54" i="7"/>
  <c r="A64" i="7"/>
  <c r="A63" i="7"/>
  <c r="A62" i="7"/>
  <c r="A61" i="7"/>
  <c r="A60" i="7"/>
  <c r="A59" i="7"/>
  <c r="A58" i="7"/>
  <c r="A57" i="7"/>
  <c r="A56" i="7"/>
  <c r="A55" i="7"/>
  <c r="A44" i="7"/>
  <c r="A43" i="7"/>
  <c r="A42" i="7"/>
  <c r="A41" i="7"/>
  <c r="A40" i="7"/>
  <c r="A39" i="7"/>
  <c r="A38" i="7"/>
  <c r="A37" i="7"/>
  <c r="A35" i="7"/>
  <c r="A36" i="7"/>
  <c r="D34" i="7"/>
  <c r="E34" i="7"/>
  <c r="F34" i="7"/>
  <c r="G34" i="7"/>
  <c r="H34" i="7"/>
  <c r="I34" i="7"/>
  <c r="J34" i="7"/>
  <c r="K34" i="7"/>
  <c r="P191" i="9" l="1"/>
  <c r="P188" i="9"/>
  <c r="P182" i="9"/>
  <c r="P198" i="9"/>
  <c r="P195" i="9"/>
  <c r="P181" i="9"/>
  <c r="P194" i="9"/>
  <c r="P142" i="9"/>
  <c r="P104" i="9"/>
  <c r="P141" i="9"/>
  <c r="P189" i="9"/>
  <c r="P107" i="9"/>
  <c r="P128" i="9"/>
  <c r="P135" i="9"/>
  <c r="P144" i="9"/>
  <c r="P138" i="9"/>
  <c r="P137" i="9"/>
  <c r="P190" i="9"/>
  <c r="P103" i="9"/>
  <c r="P131" i="9"/>
  <c r="P140" i="9"/>
  <c r="P147" i="9"/>
  <c r="P193" i="9"/>
  <c r="P134" i="9"/>
  <c r="P133" i="9"/>
  <c r="P127" i="9"/>
  <c r="P136" i="9"/>
  <c r="P143" i="9"/>
  <c r="P184" i="9"/>
  <c r="P130" i="9"/>
  <c r="P146" i="9"/>
  <c r="P185" i="9"/>
  <c r="P192" i="9"/>
  <c r="P129" i="9"/>
  <c r="P145" i="9"/>
  <c r="P111" i="9"/>
  <c r="P132" i="9"/>
  <c r="P139" i="9"/>
  <c r="P148" i="9"/>
  <c r="P186" i="9"/>
  <c r="P199" i="9"/>
  <c r="P196" i="9"/>
  <c r="P200" i="9"/>
  <c r="P202" i="9"/>
  <c r="P187" i="9"/>
  <c r="P183" i="9"/>
  <c r="P197" i="9"/>
  <c r="P201" i="9"/>
  <c r="P118" i="9"/>
  <c r="P117" i="9"/>
  <c r="P100" i="9"/>
  <c r="P105" i="9"/>
  <c r="P120" i="9"/>
  <c r="P114" i="9"/>
  <c r="P101" i="9"/>
  <c r="P116" i="9"/>
  <c r="P119" i="9"/>
  <c r="P113" i="9"/>
  <c r="P110" i="9"/>
  <c r="P112" i="9"/>
  <c r="P115" i="9"/>
  <c r="P109" i="9"/>
  <c r="P102" i="9"/>
  <c r="P108" i="9"/>
  <c r="P121" i="9"/>
  <c r="P106" i="9"/>
</calcChain>
</file>

<file path=xl/sharedStrings.xml><?xml version="1.0" encoding="utf-8"?>
<sst xmlns="http://schemas.openxmlformats.org/spreadsheetml/2006/main" count="283" uniqueCount="172">
  <si>
    <t>Parameter</t>
  </si>
  <si>
    <t>Symbol</t>
  </si>
  <si>
    <t>Unit</t>
  </si>
  <si>
    <t>V</t>
  </si>
  <si>
    <t>Ohm</t>
  </si>
  <si>
    <t>A</t>
  </si>
  <si>
    <t>Category</t>
  </si>
  <si>
    <t>Tj</t>
  </si>
  <si>
    <t>Tj (K)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</si>
  <si>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</si>
  <si>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</si>
  <si>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</si>
  <si>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</si>
  <si>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</si>
  <si>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</si>
  <si>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</si>
  <si>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</si>
  <si>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</si>
  <si>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</si>
  <si>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Temperature junction</t>
  </si>
  <si>
    <t>Typical</t>
  </si>
  <si>
    <t>K/W</t>
  </si>
  <si>
    <t>Ws/K</t>
  </si>
  <si>
    <t>1D-Foster</t>
  </si>
  <si>
    <t>C</t>
  </si>
  <si>
    <t>Thermal resistance (CA)</t>
  </si>
  <si>
    <t>Thermal capacitance (CA)</t>
  </si>
  <si>
    <t>Rth_CA</t>
  </si>
  <si>
    <t>Cth_CA</t>
  </si>
  <si>
    <t>Tj (°C)</t>
  </si>
  <si>
    <t>Type</t>
  </si>
  <si>
    <t>time (sec)</t>
  </si>
  <si>
    <t>Z_th_0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</si>
  <si>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</si>
  <si>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</si>
  <si>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</si>
  <si>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</si>
  <si>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</si>
  <si>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</si>
  <si>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</si>
  <si>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</si>
  <si>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</si>
  <si>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</si>
  <si>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</t>
  </si>
  <si>
    <t>Author</t>
  </si>
  <si>
    <t>Date</t>
  </si>
  <si>
    <t>Datasheet</t>
  </si>
  <si>
    <t>Value</t>
  </si>
  <si>
    <t>Qualification</t>
  </si>
  <si>
    <t>PNR</t>
  </si>
  <si>
    <t>Package</t>
  </si>
  <si>
    <t>Vce</t>
  </si>
  <si>
    <t>Ic</t>
  </si>
  <si>
    <t>Tj,max</t>
  </si>
  <si>
    <t>°C</t>
  </si>
  <si>
    <t>Description</t>
  </si>
  <si>
    <t>Model</t>
  </si>
  <si>
    <t>Constant</t>
  </si>
  <si>
    <t>Linear</t>
  </si>
  <si>
    <t>Junction temperature at which the parameters are measured</t>
  </si>
  <si>
    <t>Tabular</t>
  </si>
  <si>
    <t>Input Capacitance</t>
  </si>
  <si>
    <t>Output Capacitance</t>
  </si>
  <si>
    <t>F</t>
  </si>
  <si>
    <t>Forward current of the switch, e.g. collector-emitter current (Ice) or drain-source current (Ids)</t>
  </si>
  <si>
    <t>Name</t>
  </si>
  <si>
    <t>Test</t>
  </si>
  <si>
    <t>test</t>
  </si>
  <si>
    <t>#</t>
  </si>
  <si>
    <t>Version</t>
  </si>
  <si>
    <t>Changes</t>
  </si>
  <si>
    <t>Editor</t>
  </si>
  <si>
    <t>Lead</t>
  </si>
  <si>
    <t>Pascal Schirmer</t>
  </si>
  <si>
    <t>v.0.1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</si>
  <si>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</si>
  <si>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</si>
  <si>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</si>
  <si>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</si>
  <si>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</si>
  <si>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</si>
  <si>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</si>
  <si>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</si>
  <si>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</si>
  <si>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</si>
  <si>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Initial implementation of the trafo template</t>
  </si>
  <si>
    <t>Primary Resistance</t>
  </si>
  <si>
    <t>Nominal dc resistance on the primary side for ambient temperature</t>
  </si>
  <si>
    <t>Secondary Resistance</t>
  </si>
  <si>
    <t>Nominal dc resistance on the secondary side for ambient temperature</t>
  </si>
  <si>
    <t>Primary Turns</t>
  </si>
  <si>
    <t>Secondary Turns</t>
  </si>
  <si>
    <t>Number of windings on the primary side</t>
  </si>
  <si>
    <t>Number of windings on the secondary side</t>
  </si>
  <si>
    <t>Np</t>
  </si>
  <si>
    <t>Ns</t>
  </si>
  <si>
    <t>Rp</t>
  </si>
  <si>
    <t>Rs</t>
  </si>
  <si>
    <t>-</t>
  </si>
  <si>
    <t>Primary Leakage Inductance</t>
  </si>
  <si>
    <t>Seconary Leakage Inductance</t>
  </si>
  <si>
    <t>Leakage inductance of the transformers primary side</t>
  </si>
  <si>
    <t>Leakage inductance of the transformers secondary side</t>
  </si>
  <si>
    <t>Magnetizing Inductance</t>
  </si>
  <si>
    <t>Magnetizing indutance of the transformer</t>
  </si>
  <si>
    <t>Magnetic Resistance</t>
  </si>
  <si>
    <t>Equivalent magnetic core loss resistance</t>
  </si>
  <si>
    <t>Frequency</t>
  </si>
  <si>
    <t>Primary Voltage</t>
  </si>
  <si>
    <t>Voltage applied to the primary side (peak-to-peak)</t>
  </si>
  <si>
    <t>Vp</t>
  </si>
  <si>
    <t>f</t>
  </si>
  <si>
    <t>Hz</t>
  </si>
  <si>
    <t>Max primary current</t>
  </si>
  <si>
    <t>Maximum primary rms current</t>
  </si>
  <si>
    <t>Max secondary current</t>
  </si>
  <si>
    <t>Maximum secondary rms current</t>
  </si>
  <si>
    <t>Lp</t>
  </si>
  <si>
    <t>Ls</t>
  </si>
  <si>
    <t>Lm</t>
  </si>
  <si>
    <t>Rc</t>
  </si>
  <si>
    <t>Ipmax</t>
  </si>
  <si>
    <t>Ismax</t>
  </si>
  <si>
    <t>H</t>
  </si>
  <si>
    <t>Coupling Capacitance</t>
  </si>
  <si>
    <t>Primary interwinding capacitance of the transformer</t>
  </si>
  <si>
    <t>Secondary interwinding capacitance of the transformer</t>
  </si>
  <si>
    <t>Primary to secondary interwinding capacitance of the transformer</t>
  </si>
  <si>
    <t>Cp</t>
  </si>
  <si>
    <t>Cs</t>
  </si>
  <si>
    <t>Cps</t>
  </si>
  <si>
    <t>f (Hz)</t>
  </si>
  <si>
    <t>Primary Resistance Rp(f,Tj) [Ohm]</t>
  </si>
  <si>
    <t>Secondary Resistance Rs(f,Tj) [Ohm]</t>
  </si>
  <si>
    <t>Magnetic Flux</t>
  </si>
  <si>
    <t>Magnetic flux of the transformer</t>
  </si>
  <si>
    <t>B</t>
  </si>
  <si>
    <t>T</t>
  </si>
  <si>
    <t>Magnetizing Indutance Lm(B,Tj) [H]</t>
  </si>
  <si>
    <t>B (T)</t>
  </si>
  <si>
    <t>Core Resistance Rc(B,Tj) [Ohm]</t>
  </si>
  <si>
    <t>Vp (V)</t>
  </si>
  <si>
    <t>Core Resistance Rc(V,Tj) [Ohm]</t>
  </si>
  <si>
    <t>Input Capacitance Cp(Tj,f)</t>
  </si>
  <si>
    <t>Output Capacitance Cs(Tj,f)</t>
  </si>
  <si>
    <t>Coupling Capacitance Cps(Tj,f)</t>
  </si>
  <si>
    <t>Thermal resistance (PC)</t>
  </si>
  <si>
    <t>Thermal capacitance (PC)</t>
  </si>
  <si>
    <t>Thermal resistance (SC)</t>
  </si>
  <si>
    <t>Thermal capacitance (SC)</t>
  </si>
  <si>
    <t>Thermal resistance (CC)</t>
  </si>
  <si>
    <t>Thermal capacitance (CC)</t>
  </si>
  <si>
    <t>Network of resistive foster coefficients between primary and case of the transfomer</t>
  </si>
  <si>
    <t>Network of capacitive foster coefficients between primary and case of the transfomer</t>
  </si>
  <si>
    <t>Network of resistive foster coefficients between secondary and case of the transfomer</t>
  </si>
  <si>
    <t>Network of capacitive foster coefficients between secondary and case of the transfomer</t>
  </si>
  <si>
    <t>Network of resistive foster coefficients between case of the transformer and ambient</t>
  </si>
  <si>
    <t>Network of capacitive foster coefficients between case of the transformer and ambient</t>
  </si>
  <si>
    <t>Network of resistive foster coefficients between core and case of the transfomer</t>
  </si>
  <si>
    <t>Network of capacitive foster coefficients between core and case of the transfomer</t>
  </si>
  <si>
    <t>Rth_SC</t>
  </si>
  <si>
    <t>Cth_SC</t>
  </si>
  <si>
    <t>Rth_PC</t>
  </si>
  <si>
    <t>Cth_PC</t>
  </si>
  <si>
    <t>Rth_CC</t>
  </si>
  <si>
    <t>Cth_CC</t>
  </si>
  <si>
    <t>Primary</t>
  </si>
  <si>
    <t>Secondary</t>
  </si>
  <si>
    <t>Core</t>
  </si>
  <si>
    <t>Effective Area</t>
  </si>
  <si>
    <t>Effective magnetic area for flux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</si>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</sst>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11" fontId="0" fillId="0" borderId="0" xfId="0" applyNumberFormat="1"/>
    <xf numFmtId="11" fontId="1" fillId="0" borderId="0" xfId="0" applyNumberFormat="1" applyFont="1"/>
    <xf numFmtId="14" fontId="0" fillId="0" borderId="0" xfId="0" applyNumberFormat="1"/>
    <xf numFmtId="0" fontId="2" fillId="0" borderId="0" xfId="1"/>
    <xf numFmtId="0" fontId="1" fillId="0" borderId="1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2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18" xfId="0" applyFill="1" applyBorder="1"/>
    <xf numFmtId="0" fontId="0" fillId="3" borderId="18" xfId="0" applyFill="1" applyBorder="1"/>
    <xf numFmtId="0" fontId="0" fillId="4" borderId="18" xfId="0" applyFill="1" applyBorder="1"/>
    <xf numFmtId="0" fontId="0" fillId="5" borderId="19" xfId="0" applyFill="1" applyBorder="1"/>
    <xf numFmtId="0" fontId="1" fillId="6" borderId="16" xfId="0" applyFont="1" applyFill="1" applyBorder="1"/>
    <xf numFmtId="0" fontId="1" fillId="6" borderId="20" xfId="0" applyFont="1" applyFill="1" applyBorder="1"/>
    <xf numFmtId="0" fontId="1" fillId="6" borderId="21" xfId="0" applyFont="1" applyFill="1" applyBorder="1"/>
    <xf numFmtId="0" fontId="1" fillId="6" borderId="17" xfId="0" applyFont="1" applyFill="1" applyBorder="1"/>
    <xf numFmtId="0" fontId="0" fillId="5" borderId="7" xfId="0" applyFill="1" applyBorder="1"/>
    <xf numFmtId="0" fontId="0" fillId="3" borderId="7" xfId="0" applyFill="1" applyBorder="1"/>
    <xf numFmtId="0" fontId="0" fillId="5" borderId="4" xfId="0" applyFill="1" applyBorder="1"/>
    <xf numFmtId="0" fontId="0" fillId="5" borderId="8" xfId="0" applyFill="1" applyBorder="1"/>
    <xf numFmtId="0" fontId="1" fillId="3" borderId="18" xfId="0" applyFont="1" applyFill="1" applyBorder="1"/>
    <xf numFmtId="0" fontId="1" fillId="3" borderId="19" xfId="0" applyFont="1" applyFill="1" applyBorder="1"/>
    <xf numFmtId="2" fontId="1" fillId="5" borderId="3" xfId="0" applyNumberFormat="1" applyFont="1" applyFill="1" applyBorder="1"/>
    <xf numFmtId="2" fontId="1" fillId="5" borderId="6" xfId="0" applyNumberFormat="1" applyFont="1" applyFill="1" applyBorder="1"/>
    <xf numFmtId="11" fontId="0" fillId="4" borderId="26" xfId="0" applyNumberFormat="1" applyFill="1" applyBorder="1"/>
    <xf numFmtId="11" fontId="0" fillId="4" borderId="27" xfId="0" applyNumberFormat="1" applyFill="1" applyBorder="1"/>
    <xf numFmtId="2" fontId="1" fillId="5" borderId="28" xfId="0" applyNumberFormat="1" applyFont="1" applyFill="1" applyBorder="1"/>
    <xf numFmtId="2" fontId="1" fillId="5" borderId="29" xfId="0" applyNumberFormat="1" applyFont="1" applyFill="1" applyBorder="1"/>
    <xf numFmtId="2" fontId="1" fillId="5" borderId="30" xfId="0" applyNumberFormat="1" applyFont="1" applyFill="1" applyBorder="1"/>
    <xf numFmtId="11" fontId="0" fillId="4" borderId="31" xfId="0" applyNumberFormat="1" applyFill="1" applyBorder="1"/>
    <xf numFmtId="11" fontId="0" fillId="4" borderId="32" xfId="0" applyNumberFormat="1" applyFill="1" applyBorder="1"/>
    <xf numFmtId="11" fontId="0" fillId="4" borderId="33" xfId="0" applyNumberFormat="1" applyFill="1" applyBorder="1"/>
    <xf numFmtId="11" fontId="0" fillId="4" borderId="34" xfId="0" applyNumberFormat="1" applyFill="1" applyBorder="1"/>
    <xf numFmtId="11" fontId="1" fillId="4" borderId="26" xfId="0" applyNumberFormat="1" applyFont="1" applyFill="1" applyBorder="1"/>
    <xf numFmtId="0" fontId="1" fillId="6" borderId="36" xfId="0" applyFont="1" applyFill="1" applyBorder="1"/>
    <xf numFmtId="0" fontId="1" fillId="6" borderId="15" xfId="0" applyFont="1" applyFill="1" applyBorder="1"/>
    <xf numFmtId="0" fontId="0" fillId="5" borderId="0" xfId="0" applyFill="1"/>
    <xf numFmtId="0" fontId="0" fillId="3" borderId="19" xfId="0" applyFill="1" applyBorder="1"/>
    <xf numFmtId="11" fontId="1" fillId="4" borderId="27" xfId="0" applyNumberFormat="1" applyFont="1" applyFill="1" applyBorder="1"/>
    <xf numFmtId="11" fontId="1" fillId="4" borderId="37" xfId="0" applyNumberFormat="1" applyFont="1" applyFill="1" applyBorder="1"/>
    <xf numFmtId="11" fontId="1" fillId="4" borderId="12" xfId="0" applyNumberFormat="1" applyFont="1" applyFill="1" applyBorder="1"/>
    <xf numFmtId="11" fontId="0" fillId="4" borderId="12" xfId="0" applyNumberFormat="1" applyFill="1" applyBorder="1"/>
    <xf numFmtId="11" fontId="0" fillId="4" borderId="38" xfId="0" applyNumberFormat="1" applyFill="1" applyBorder="1"/>
    <xf numFmtId="0" fontId="1" fillId="6" borderId="39" xfId="0" applyFont="1" applyFill="1" applyBorder="1"/>
    <xf numFmtId="0" fontId="0" fillId="5" borderId="40" xfId="0" applyFill="1" applyBorder="1"/>
    <xf numFmtId="0" fontId="0" fillId="5" borderId="41" xfId="0" applyFill="1" applyBorder="1"/>
    <xf numFmtId="11" fontId="0" fillId="4" borderId="42" xfId="0" applyNumberFormat="1" applyFill="1" applyBorder="1"/>
    <xf numFmtId="11" fontId="0" fillId="4" borderId="43" xfId="0" applyNumberFormat="1" applyFill="1" applyBorder="1"/>
    <xf numFmtId="11" fontId="0" fillId="4" borderId="44" xfId="0" applyNumberFormat="1" applyFill="1" applyBorder="1"/>
    <xf numFmtId="0" fontId="0" fillId="3" borderId="0" xfId="0" applyFill="1"/>
    <xf numFmtId="0" fontId="0" fillId="5" borderId="45" xfId="0" applyFill="1" applyBorder="1"/>
    <xf numFmtId="0" fontId="0" fillId="4" borderId="26" xfId="0" applyFill="1" applyBorder="1"/>
    <xf numFmtId="11" fontId="1" fillId="4" borderId="32" xfId="0" applyNumberFormat="1" applyFont="1" applyFill="1" applyBorder="1"/>
    <xf numFmtId="0" fontId="0" fillId="4" borderId="32" xfId="0" applyFill="1" applyBorder="1"/>
    <xf numFmtId="11" fontId="1" fillId="4" borderId="31" xfId="0" applyNumberFormat="1" applyFont="1" applyFill="1" applyBorder="1"/>
    <xf numFmtId="0" fontId="1" fillId="6" borderId="46" xfId="0" applyFont="1" applyFill="1" applyBorder="1"/>
    <xf numFmtId="11" fontId="0" fillId="4" borderId="47" xfId="0" applyNumberFormat="1" applyFill="1" applyBorder="1"/>
    <xf numFmtId="11" fontId="0" fillId="4" borderId="48" xfId="0" applyNumberFormat="1" applyFill="1" applyBorder="1"/>
    <xf numFmtId="11" fontId="0" fillId="4" borderId="49" xfId="0" applyNumberFormat="1" applyFill="1" applyBorder="1"/>
    <xf numFmtId="1" fontId="0" fillId="4" borderId="48" xfId="0" applyNumberFormat="1" applyFill="1" applyBorder="1"/>
    <xf numFmtId="0" fontId="1" fillId="3" borderId="40" xfId="0" applyFont="1" applyFill="1" applyBorder="1"/>
    <xf numFmtId="0" fontId="0" fillId="3" borderId="40" xfId="0" applyFill="1" applyBorder="1"/>
    <xf numFmtId="0" fontId="0" fillId="3" borderId="41" xfId="0" applyFill="1" applyBorder="1"/>
    <xf numFmtId="11" fontId="0" fillId="4" borderId="50" xfId="0" applyNumberFormat="1" applyFill="1" applyBorder="1"/>
    <xf numFmtId="11" fontId="0" fillId="4" borderId="51" xfId="0" applyNumberFormat="1" applyFill="1" applyBorder="1"/>
    <xf numFmtId="11" fontId="0" fillId="4" borderId="52" xfId="0" applyNumberFormat="1" applyFill="1" applyBorder="1"/>
    <xf numFmtId="11" fontId="0" fillId="4" borderId="53" xfId="0" applyNumberFormat="1" applyFill="1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Primary</a:t>
            </a:r>
            <a:r>
              <a:rPr lang="de-DE" baseline="0"/>
              <a:t> Resistance (Rp)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electrical!$B$35:$B$44</c:f>
              <c:numCache>
                <c:formatCode>0.00E+00</c:formatCode>
                <c:ptCount val="10"/>
                <c:pt idx="0">
                  <c:v>4.2999999999999997E-2</c:v>
                </c:pt>
                <c:pt idx="1">
                  <c:v>0.05</c:v>
                </c:pt>
                <c:pt idx="2">
                  <c:v>0.06</c:v>
                </c:pt>
                <c:pt idx="3">
                  <c:v>0.1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9-4576-9EE8-03ACC0663D3B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electrical!$C$35:$C$44</c:f>
              <c:numCache>
                <c:formatCode>0.00E+00</c:formatCode>
                <c:ptCount val="10"/>
                <c:pt idx="0">
                  <c:v>6.4500000000000002E-2</c:v>
                </c:pt>
                <c:pt idx="1">
                  <c:v>7.5000000000000011E-2</c:v>
                </c:pt>
                <c:pt idx="2">
                  <c:v>0.09</c:v>
                </c:pt>
                <c:pt idx="3">
                  <c:v>0.15000000000000002</c:v>
                </c:pt>
                <c:pt idx="4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9-4576-9EE8-03ACC0663D3B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electrical!$D$35:$D$44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69-4576-9EE8-03ACC0663D3B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electrical!$E$35:$E$44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69-4576-9EE8-03ACC0663D3B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electrical!$F$35:$F$44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69-4576-9EE8-03ACC0663D3B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electrical!$G$35:$G$44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69-4576-9EE8-03ACC0663D3B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electrical!$H$35:$H$44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69-4576-9EE8-03ACC0663D3B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electrical!$I$35:$I$44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69-4576-9EE8-03ACC0663D3B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electrical!$J$35:$J$44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69-4576-9EE8-03ACC0663D3B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electrical!$K$35:$K$44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69-4576-9EE8-03ACC066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Rp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Secondary</a:t>
            </a:r>
            <a:r>
              <a:rPr lang="de-DE" baseline="0"/>
              <a:t> Resistance (Rs)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electrical!$B$55:$B$64</c:f>
              <c:numCache>
                <c:formatCode>0.00E+00</c:formatCode>
                <c:ptCount val="10"/>
                <c:pt idx="0">
                  <c:v>1.6E-2</c:v>
                </c:pt>
                <c:pt idx="1">
                  <c:v>1.7999999999999999E-2</c:v>
                </c:pt>
                <c:pt idx="2">
                  <c:v>0.02</c:v>
                </c:pt>
                <c:pt idx="3">
                  <c:v>0.04</c:v>
                </c:pt>
                <c:pt idx="4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F-4F8A-BDCF-E26A10992EA9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electrical!$C$55:$C$64</c:f>
              <c:numCache>
                <c:formatCode>0.00E+00</c:formatCode>
                <c:ptCount val="10"/>
                <c:pt idx="0">
                  <c:v>2.4E-2</c:v>
                </c:pt>
                <c:pt idx="1">
                  <c:v>2.6999999999999996E-2</c:v>
                </c:pt>
                <c:pt idx="2">
                  <c:v>0.03</c:v>
                </c:pt>
                <c:pt idx="3">
                  <c:v>0.06</c:v>
                </c:pt>
                <c:pt idx="4">
                  <c:v>0.44999999999999996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2F-4F8A-BDCF-E26A10992EA9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electrical!$D$55:$D$64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2F-4F8A-BDCF-E26A10992EA9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electrical!$E$55:$E$64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2F-4F8A-BDCF-E26A10992EA9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electrical!$F$55:$F$64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2F-4F8A-BDCF-E26A10992EA9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electrical!$G$55:$G$64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2F-4F8A-BDCF-E26A10992EA9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electrical!$H$55:$H$64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2F-4F8A-BDCF-E26A10992EA9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electrical!$I$55:$I$64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2F-4F8A-BDCF-E26A10992EA9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electrical!$J$55:$J$64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2F-4F8A-BDCF-E26A10992EA9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electrical!$K$55:$K$64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2F-4F8A-BDCF-E26A1099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Rs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Magnetizing Inductance (Lm)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electrical!$B$75:$B$84</c:f>
              <c:numCache>
                <c:formatCode>0.00E+00</c:formatCode>
                <c:ptCount val="10"/>
                <c:pt idx="0">
                  <c:v>2.7399999999999998E-3</c:v>
                </c:pt>
                <c:pt idx="1">
                  <c:v>2.7399999999999998E-3</c:v>
                </c:pt>
                <c:pt idx="2">
                  <c:v>2.7399999999999998E-3</c:v>
                </c:pt>
                <c:pt idx="3">
                  <c:v>2.7399999999999998E-3</c:v>
                </c:pt>
                <c:pt idx="4">
                  <c:v>2.7399999999999998E-3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AF-4894-948D-F7169BF263E2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electrical!$C$75:$C$84</c:f>
              <c:numCache>
                <c:formatCode>0.00E+00</c:formatCode>
                <c:ptCount val="10"/>
                <c:pt idx="0">
                  <c:v>2.7399999999999998E-3</c:v>
                </c:pt>
                <c:pt idx="1">
                  <c:v>2.7399999999999998E-3</c:v>
                </c:pt>
                <c:pt idx="2">
                  <c:v>2.7399999999999998E-3</c:v>
                </c:pt>
                <c:pt idx="3">
                  <c:v>2.7399999999999998E-3</c:v>
                </c:pt>
                <c:pt idx="4">
                  <c:v>2.7399999999999998E-3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AF-4894-948D-F7169BF263E2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electrical!$D$75:$D$84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AF-4894-948D-F7169BF263E2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electrical!$E$75:$E$84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AF-4894-948D-F7169BF263E2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electrical!$F$75:$F$84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AF-4894-948D-F7169BF263E2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electrical!$G$75:$G$84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AF-4894-948D-F7169BF263E2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electrical!$H$75:$H$84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AF-4894-948D-F7169BF263E2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electrical!$I$75:$I$84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AF-4894-948D-F7169BF263E2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electrical!$J$75:$J$84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AF-4894-948D-F7169BF263E2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electrical!$K$75:$K$84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AF-4894-948D-F7169BF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Lm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Core Resistance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electrical!$B$95:$B$104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C-47C5-A74B-F35BE505A864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electrical!$C$95:$C$104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DC-47C5-A74B-F35BE505A864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electrical!$D$95:$D$104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DC-47C5-A74B-F35BE505A864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electrical!$E$95:$E$104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DC-47C5-A74B-F35BE505A864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electrical!$F$95:$F$104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DC-47C5-A74B-F35BE505A864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electrical!$G$95:$G$104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DC-47C5-A74B-F35BE505A864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electrical!$H$95:$H$104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DC-47C5-A74B-F35BE505A864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electrical!$I$95:$I$104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DC-47C5-A74B-F35BE505A864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electrical!$J$95:$J$104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DC-47C5-A74B-F35BE505A864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electrical!$K$95:$K$104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DC-47C5-A74B-F35BE505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Rc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Core Resistance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electrical!$B$115:$B$124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4B-4CD2-9AAC-881E5076A415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electrical!$C$115:$C$124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B-4CD2-9AAC-881E5076A415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electrical!$D$115:$D$124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B-4CD2-9AAC-881E5076A415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electrical!$E$115:$E$124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B-4CD2-9AAC-881E5076A415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electrical!$F$115:$F$124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4B-4CD2-9AAC-881E5076A415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electrical!$G$115:$G$124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B-4CD2-9AAC-881E5076A415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electrical!$H$115:$H$124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4B-4CD2-9AAC-881E5076A415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electrical!$I$115:$I$124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4B-4CD2-9AAC-881E5076A415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electrical!$J$115:$J$124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4B-4CD2-9AAC-881E5076A415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electrical!$K$115:$K$124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4B-4CD2-9AAC-881E5076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Vp</a:t>
                </a:r>
                <a:r>
                  <a:rPr lang="de-DE" baseline="0"/>
                  <a:t> [V]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Rc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Input Capacitance (Cp)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electrical!$B$135:$B$144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1-4A83-B296-4B4694F9885A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electrical!$C$135:$C$144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41-4A83-B296-4B4694F9885A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electrical!$D$135:$D$144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41-4A83-B296-4B4694F9885A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electrical!$E$135:$E$144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41-4A83-B296-4B4694F9885A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electrical!$F$135:$F$144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41-4A83-B296-4B4694F9885A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electrical!$G$135:$G$144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41-4A83-B296-4B4694F9885A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electrical!$H$135:$H$144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41-4A83-B296-4B4694F9885A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electrical!$I$135:$I$144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41-4A83-B296-4B4694F9885A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electrical!$J$135:$J$144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41-4A83-B296-4B4694F9885A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electrical!$K$135:$K$144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41-4A83-B296-4B4694F9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</a:t>
                </a:r>
                <a:r>
                  <a:rPr lang="de-DE" baseline="0"/>
                  <a:t> [Hz]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Cp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Output Capacitance (Cs)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electrical!$B$155:$B$164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4-4D02-97FE-AD74DE0539BD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electrical!$C$155:$C$164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24-4D02-97FE-AD74DE0539BD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electrical!$D$155:$D$164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4-4D02-97FE-AD74DE0539BD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electrical!$E$155:$E$164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24-4D02-97FE-AD74DE0539BD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electrical!$F$155:$F$164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24-4D02-97FE-AD74DE0539BD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electrical!$G$155:$G$164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24-4D02-97FE-AD74DE0539BD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electrical!$H$155:$H$164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24-4D02-97FE-AD74DE0539BD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electrical!$I$155:$I$164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24-4D02-97FE-AD74DE0539BD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electrical!$J$155:$J$164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24-4D02-97FE-AD74DE0539BD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electrical!$K$155:$K$164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A24-4D02-97FE-AD74DE05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Coupling Capacitance (Cps)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electrical!$B$175:$B$184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6-4F85-95DE-5854F557F2D0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electrical!$C$175:$C$184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6-4F85-95DE-5854F557F2D0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electrical!$D$175:$D$184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6-4F85-95DE-5854F557F2D0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electrical!$E$175:$E$184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6-4F85-95DE-5854F557F2D0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electrical!$F$175:$F$184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6-4F85-95DE-5854F557F2D0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electrical!$G$175:$G$184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36-4F85-95DE-5854F557F2D0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electrical!$H$175:$H$184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36-4F85-95DE-5854F557F2D0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electrical!$I$175:$I$184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36-4F85-95DE-5854F557F2D0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electrical!$J$175:$J$184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36-4F85-95DE-5854F557F2D0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electrical!$K$175:$K$184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36-4F85-95DE-5854F557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Cps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Primary, Secondary, and Core to Case (JC)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Primary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9.9999000006678607E-5</c:v>
                </c:pt>
                <c:pt idx="1">
                  <c:v>1.9999600005315976E-4</c:v>
                </c:pt>
                <c:pt idx="2">
                  <c:v>4.9997500083331925E-4</c:v>
                </c:pt>
                <c:pt idx="3">
                  <c:v>9.9990000666627665E-4</c:v>
                </c:pt>
                <c:pt idx="4">
                  <c:v>1.9996000533278879E-3</c:v>
                </c:pt>
                <c:pt idx="5">
                  <c:v>4.9975008331248905E-3</c:v>
                </c:pt>
                <c:pt idx="6">
                  <c:v>9.9900066633346052E-3</c:v>
                </c:pt>
                <c:pt idx="7">
                  <c:v>1.9960053280042578E-2</c:v>
                </c:pt>
                <c:pt idx="8">
                  <c:v>4.9750831254159467E-2</c:v>
                </c:pt>
                <c:pt idx="9">
                  <c:v>9.9006633466223737E-2</c:v>
                </c:pt>
                <c:pt idx="10">
                  <c:v>0.19605280423838412</c:v>
                </c:pt>
                <c:pt idx="11">
                  <c:v>0.47581290982020241</c:v>
                </c:pt>
                <c:pt idx="12">
                  <c:v>0.9063462346100909</c:v>
                </c:pt>
                <c:pt idx="13">
                  <c:v>1.6483997698218034</c:v>
                </c:pt>
                <c:pt idx="14">
                  <c:v>3.1606027941427883</c:v>
                </c:pt>
                <c:pt idx="15">
                  <c:v>4.3233235838169364</c:v>
                </c:pt>
                <c:pt idx="16">
                  <c:v>4.9084218055563289</c:v>
                </c:pt>
                <c:pt idx="17">
                  <c:v>4.9997730003511878</c:v>
                </c:pt>
                <c:pt idx="18">
                  <c:v>4.9999999896942322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C-4486-A8D0-F9AD8DEEFEB1}"/>
            </c:ext>
          </c:extLst>
        </c:ser>
        <c:ser>
          <c:idx val="1"/>
          <c:order val="1"/>
          <c:tx>
            <c:strRef>
              <c:f>thermal!$P$126</c:f>
              <c:strCache>
                <c:ptCount val="1"/>
                <c:pt idx="0">
                  <c:v>Secondary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9.9997500041748566E-5</c:v>
                </c:pt>
                <c:pt idx="1">
                  <c:v>1.999900003333277E-4</c:v>
                </c:pt>
                <c:pt idx="2">
                  <c:v>4.9993750520793689E-4</c:v>
                </c:pt>
                <c:pt idx="3">
                  <c:v>9.9975004166141801E-4</c:v>
                </c:pt>
                <c:pt idx="4">
                  <c:v>1.9990003332499562E-3</c:v>
                </c:pt>
                <c:pt idx="5">
                  <c:v>4.9937552050798306E-3</c:v>
                </c:pt>
                <c:pt idx="6">
                  <c:v>9.9750416146353604E-3</c:v>
                </c:pt>
                <c:pt idx="7">
                  <c:v>1.9900332501663787E-2</c:v>
                </c:pt>
                <c:pt idx="8">
                  <c:v>4.938017594333477E-2</c:v>
                </c:pt>
                <c:pt idx="9">
                  <c:v>9.7541150998571968E-2</c:v>
                </c:pt>
                <c:pt idx="10">
                  <c:v>0.19032516392808096</c:v>
                </c:pt>
                <c:pt idx="11">
                  <c:v>0.44239843385719024</c:v>
                </c:pt>
                <c:pt idx="12">
                  <c:v>0.78693868057473315</c:v>
                </c:pt>
                <c:pt idx="13">
                  <c:v>1.2642411176571153</c:v>
                </c:pt>
                <c:pt idx="14">
                  <c:v>1.8358300027522023</c:v>
                </c:pt>
                <c:pt idx="15">
                  <c:v>1.986524106001829</c:v>
                </c:pt>
                <c:pt idx="16">
                  <c:v>1.999909200140475</c:v>
                </c:pt>
                <c:pt idx="17">
                  <c:v>1.9999999999722242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C-4486-A8D0-F9AD8DEEFEB1}"/>
            </c:ext>
          </c:extLst>
        </c:ser>
        <c:ser>
          <c:idx val="2"/>
          <c:order val="2"/>
          <c:tx>
            <c:strRef>
              <c:f>thermal!$P$153</c:f>
              <c:strCache>
                <c:ptCount val="1"/>
                <c:pt idx="0">
                  <c:v>Core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thermal!$D$154:$D$175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thermal!$P$154:$P$175</c:f>
              <c:numCache>
                <c:formatCode>0.00E+00</c:formatCode>
                <c:ptCount val="22"/>
                <c:pt idx="0">
                  <c:v>7.9999919999629299E-6</c:v>
                </c:pt>
                <c:pt idx="1">
                  <c:v>1.5999967999835718E-5</c:v>
                </c:pt>
                <c:pt idx="2">
                  <c:v>3.9999800000689589E-5</c:v>
                </c:pt>
                <c:pt idx="3">
                  <c:v>7.9999200005342885E-5</c:v>
                </c:pt>
                <c:pt idx="4">
                  <c:v>1.5999680004252781E-4</c:v>
                </c:pt>
                <c:pt idx="5">
                  <c:v>3.999800006666554E-4</c:v>
                </c:pt>
                <c:pt idx="6">
                  <c:v>7.9992000533302132E-4</c:v>
                </c:pt>
                <c:pt idx="7">
                  <c:v>1.5996800426623103E-3</c:v>
                </c:pt>
                <c:pt idx="8">
                  <c:v>3.9980006664999124E-3</c:v>
                </c:pt>
                <c:pt idx="9">
                  <c:v>7.9920053306676841E-3</c:v>
                </c:pt>
                <c:pt idx="10">
                  <c:v>1.5968042624034062E-2</c:v>
                </c:pt>
                <c:pt idx="11">
                  <c:v>3.9800665003327573E-2</c:v>
                </c:pt>
                <c:pt idx="12">
                  <c:v>7.9205306772978989E-2</c:v>
                </c:pt>
                <c:pt idx="13">
                  <c:v>0.15684224339070729</c:v>
                </c:pt>
                <c:pt idx="14">
                  <c:v>0.38065032785616193</c:v>
                </c:pt>
                <c:pt idx="15">
                  <c:v>0.72507698768807272</c:v>
                </c:pt>
                <c:pt idx="16">
                  <c:v>1.3187198158574427</c:v>
                </c:pt>
                <c:pt idx="17">
                  <c:v>2.5284822353142307</c:v>
                </c:pt>
                <c:pt idx="18">
                  <c:v>3.4586588670535492</c:v>
                </c:pt>
                <c:pt idx="19">
                  <c:v>3.9267374444450631</c:v>
                </c:pt>
                <c:pt idx="20">
                  <c:v>3.99981840028095</c:v>
                </c:pt>
                <c:pt idx="21">
                  <c:v>3.9999999917553857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2-451C-B5BD-A692895D9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60639"/>
        <c:axId val="376257311"/>
      </c:scatterChart>
      <c:valAx>
        <c:axId val="3762606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57311"/>
        <c:crosses val="autoZero"/>
        <c:crossBetween val="midCat"/>
      </c:valAx>
      <c:valAx>
        <c:axId val="3762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6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Case to Ambient (CA)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thermal!$P$180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thermal!$D$181:$D$202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thermal!$P$181:$P$202</c:f>
              <c:numCache>
                <c:formatCode>0.00E+00</c:formatCode>
                <c:ptCount val="22"/>
                <c:pt idx="0">
                  <c:v>9.9999500001723973E-6</c:v>
                </c:pt>
                <c:pt idx="1">
                  <c:v>1.9999800001335721E-5</c:v>
                </c:pt>
                <c:pt idx="2">
                  <c:v>4.9998750020874283E-5</c:v>
                </c:pt>
                <c:pt idx="3">
                  <c:v>9.999500016666385E-5</c:v>
                </c:pt>
                <c:pt idx="4">
                  <c:v>1.9998000133325533E-4</c:v>
                </c:pt>
                <c:pt idx="5">
                  <c:v>4.99875020830709E-4</c:v>
                </c:pt>
                <c:pt idx="6">
                  <c:v>9.9950016662497809E-4</c:v>
                </c:pt>
                <c:pt idx="7">
                  <c:v>1.998001332666921E-3</c:v>
                </c:pt>
                <c:pt idx="8">
                  <c:v>4.9875208073176802E-3</c:v>
                </c:pt>
                <c:pt idx="9">
                  <c:v>9.9501662508318933E-3</c:v>
                </c:pt>
                <c:pt idx="10">
                  <c:v>1.9801326693244747E-2</c:v>
                </c:pt>
                <c:pt idx="11">
                  <c:v>4.8770575499285984E-2</c:v>
                </c:pt>
                <c:pt idx="12">
                  <c:v>9.5162581964040482E-2</c:v>
                </c:pt>
                <c:pt idx="13">
                  <c:v>0.18126924692201818</c:v>
                </c:pt>
                <c:pt idx="14">
                  <c:v>0.39346934028736658</c:v>
                </c:pt>
                <c:pt idx="15">
                  <c:v>0.63212055882855767</c:v>
                </c:pt>
                <c:pt idx="16">
                  <c:v>0.8646647167633873</c:v>
                </c:pt>
                <c:pt idx="17">
                  <c:v>0.99326205300091452</c:v>
                </c:pt>
                <c:pt idx="18">
                  <c:v>0.99995460007023751</c:v>
                </c:pt>
                <c:pt idx="19">
                  <c:v>0.99999999793884642</c:v>
                </c:pt>
                <c:pt idx="20">
                  <c:v>1</c:v>
                </c:pt>
                <c:pt idx="2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3-4CFD-A087-1CD3EA10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6975"/>
        <c:axId val="371713647"/>
      </c:scatterChart>
      <c:valAx>
        <c:axId val="3717169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3647"/>
        <c:crosses val="autoZero"/>
        <c:crossBetween val="midCat"/>
      </c:valAx>
      <c:valAx>
        <c:axId val="3717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31</xdr:row>
      <xdr:rowOff>195262</xdr:rowOff>
    </xdr:from>
    <xdr:to>
      <xdr:col>20</xdr:col>
      <xdr:colOff>527962</xdr:colOff>
      <xdr:row>45</xdr:row>
      <xdr:rowOff>10162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7ACD7E-0757-9D56-13A8-9F4679081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52</xdr:row>
      <xdr:rowOff>0</xdr:rowOff>
    </xdr:from>
    <xdr:to>
      <xdr:col>20</xdr:col>
      <xdr:colOff>523200</xdr:colOff>
      <xdr:row>65</xdr:row>
      <xdr:rowOff>14925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31F0CA-5ADE-4AA6-AFC4-F160104B0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20</xdr:col>
      <xdr:colOff>523200</xdr:colOff>
      <xdr:row>85</xdr:row>
      <xdr:rowOff>14925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A0D7A0-FE99-4512-A77E-C51C1E904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20</xdr:col>
      <xdr:colOff>523200</xdr:colOff>
      <xdr:row>105</xdr:row>
      <xdr:rowOff>14925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AB049B-17E6-4097-8FE0-BFD636576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112</xdr:row>
      <xdr:rowOff>0</xdr:rowOff>
    </xdr:from>
    <xdr:to>
      <xdr:col>20</xdr:col>
      <xdr:colOff>523200</xdr:colOff>
      <xdr:row>125</xdr:row>
      <xdr:rowOff>14925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F78E08-A223-4F7E-9772-373F1CC63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132</xdr:row>
      <xdr:rowOff>8965</xdr:rowOff>
    </xdr:from>
    <xdr:to>
      <xdr:col>20</xdr:col>
      <xdr:colOff>523200</xdr:colOff>
      <xdr:row>145</xdr:row>
      <xdr:rowOff>23890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52EC8C-B4D4-4247-96B0-52D3F7474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151</xdr:row>
      <xdr:rowOff>170329</xdr:rowOff>
    </xdr:from>
    <xdr:to>
      <xdr:col>20</xdr:col>
      <xdr:colOff>523200</xdr:colOff>
      <xdr:row>165</xdr:row>
      <xdr:rowOff>5959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529F9-AD24-450D-A730-7207D5EF3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17930</xdr:colOff>
      <xdr:row>172</xdr:row>
      <xdr:rowOff>17928</xdr:rowOff>
    </xdr:from>
    <xdr:to>
      <xdr:col>20</xdr:col>
      <xdr:colOff>541130</xdr:colOff>
      <xdr:row>185</xdr:row>
      <xdr:rowOff>32853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D726F-CBA9-4A64-8894-56410AF9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3855720</xdr:colOff>
      <xdr:row>25</xdr:row>
      <xdr:rowOff>0</xdr:rowOff>
    </xdr:from>
    <xdr:to>
      <xdr:col>8</xdr:col>
      <xdr:colOff>259080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62254-8859-33B8-B385-CE720674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304800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5824C-AE81-52CF-6CFC-096B5B59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D25" sqref="D25"/>
    </sheetView>
  </sheetViews>
  <sheetFormatPr defaultRowHeight="14.4" x14ac:dyDescent="0.3"/>
  <cols>
    <col min="1" max="1" width="11.6640625" bestFit="1" customWidth="1"/>
    <col min="2" max="2" width="13.6640625" bestFit="1" customWidth="1"/>
    <col min="3" max="3" width="10.5546875" bestFit="1" customWidth="1"/>
    <col min="4" max="4" width="38.21875" bestFit="1" customWidth="1"/>
    <col min="5" max="6" width="13.77734375" bestFit="1" customWidth="1"/>
    <col min="11" max="11" width="51.33203125" bestFit="1" customWidth="1"/>
  </cols>
  <sheetData>
    <row r="1" spans="1:3" x14ac:dyDescent="0.3">
      <c r="A1" s="1" t="s">
        <v>44</v>
      </c>
      <c r="B1" t="s">
        <v>65</v>
      </c>
    </row>
    <row r="2" spans="1:3" x14ac:dyDescent="0.3">
      <c r="A2" s="1" t="s">
        <v>45</v>
      </c>
      <c r="B2" s="9" t="s">
        <v>45</v>
      </c>
    </row>
    <row r="3" spans="1:3" x14ac:dyDescent="0.3">
      <c r="A3" s="1" t="s">
        <v>46</v>
      </c>
      <c r="B3" s="10" t="s">
        <v>66</v>
      </c>
    </row>
    <row r="7" spans="1:3" ht="15" thickBot="1" x14ac:dyDescent="0.35">
      <c r="A7" s="11" t="s">
        <v>0</v>
      </c>
      <c r="B7" s="11" t="s">
        <v>47</v>
      </c>
      <c r="C7" s="11" t="s">
        <v>2</v>
      </c>
    </row>
    <row r="8" spans="1:3" ht="15" thickTop="1" x14ac:dyDescent="0.3">
      <c r="A8" s="1" t="s">
        <v>30</v>
      </c>
      <c r="B8" t="s">
        <v>67</v>
      </c>
    </row>
    <row r="9" spans="1:3" x14ac:dyDescent="0.3">
      <c r="A9" s="1" t="s">
        <v>48</v>
      </c>
      <c r="B9" t="s">
        <v>67</v>
      </c>
    </row>
    <row r="10" spans="1:3" x14ac:dyDescent="0.3">
      <c r="A10" s="1" t="s">
        <v>49</v>
      </c>
      <c r="B10" t="s">
        <v>67</v>
      </c>
    </row>
    <row r="11" spans="1:3" x14ac:dyDescent="0.3">
      <c r="A11" s="1" t="s">
        <v>50</v>
      </c>
      <c r="B11" t="s">
        <v>67</v>
      </c>
    </row>
    <row r="12" spans="1:3" x14ac:dyDescent="0.3">
      <c r="A12" s="1" t="s">
        <v>51</v>
      </c>
      <c r="C12" t="s">
        <v>3</v>
      </c>
    </row>
    <row r="13" spans="1:3" x14ac:dyDescent="0.3">
      <c r="A13" s="1" t="s">
        <v>52</v>
      </c>
      <c r="C13" t="s">
        <v>5</v>
      </c>
    </row>
    <row r="14" spans="1:3" x14ac:dyDescent="0.3">
      <c r="A14" s="1" t="s">
        <v>53</v>
      </c>
      <c r="C14" t="s">
        <v>54</v>
      </c>
    </row>
    <row r="19" spans="1:12" ht="15" thickBot="1" x14ac:dyDescent="0.35"/>
    <row r="20" spans="1:12" ht="15" thickBot="1" x14ac:dyDescent="0.35">
      <c r="A20" s="14" t="s">
        <v>68</v>
      </c>
      <c r="B20" s="11" t="s">
        <v>69</v>
      </c>
      <c r="C20" s="11" t="s">
        <v>45</v>
      </c>
      <c r="D20" s="11" t="s">
        <v>70</v>
      </c>
      <c r="E20" s="11" t="s">
        <v>71</v>
      </c>
      <c r="F20" s="11" t="s">
        <v>72</v>
      </c>
      <c r="J20" s="76" t="s">
        <v>75</v>
      </c>
      <c r="K20" s="77"/>
      <c r="L20" s="78"/>
    </row>
    <row r="21" spans="1:12" ht="15.6" thickTop="1" thickBot="1" x14ac:dyDescent="0.35">
      <c r="A21" s="3">
        <v>1</v>
      </c>
      <c r="B21" t="s">
        <v>74</v>
      </c>
      <c r="C21" s="9">
        <v>46060</v>
      </c>
      <c r="D21" t="s">
        <v>85</v>
      </c>
      <c r="E21" t="s">
        <v>73</v>
      </c>
      <c r="F21" t="s">
        <v>73</v>
      </c>
      <c r="J21" s="13" t="s">
        <v>76</v>
      </c>
      <c r="K21" s="15" t="s">
        <v>77</v>
      </c>
      <c r="L21" s="16" t="s">
        <v>78</v>
      </c>
    </row>
    <row r="22" spans="1:12" x14ac:dyDescent="0.3">
      <c r="A22" s="3">
        <v>2</v>
      </c>
      <c r="J22" s="17"/>
      <c r="K22" t="s">
        <v>79</v>
      </c>
      <c r="L22" s="4" t="s">
        <v>80</v>
      </c>
    </row>
    <row r="23" spans="1:12" x14ac:dyDescent="0.3">
      <c r="A23" s="3">
        <v>3</v>
      </c>
      <c r="J23" s="18"/>
      <c r="K23" t="s">
        <v>81</v>
      </c>
      <c r="L23" s="4" t="s">
        <v>82</v>
      </c>
    </row>
    <row r="24" spans="1:12" x14ac:dyDescent="0.3">
      <c r="A24" s="3">
        <v>4</v>
      </c>
      <c r="J24" s="19"/>
      <c r="K24" t="s">
        <v>83</v>
      </c>
      <c r="L24" s="4" t="s">
        <v>82</v>
      </c>
    </row>
    <row r="25" spans="1:12" ht="15" thickBot="1" x14ac:dyDescent="0.35">
      <c r="A25" s="3">
        <v>5</v>
      </c>
      <c r="J25" s="20"/>
      <c r="K25" s="5" t="s">
        <v>84</v>
      </c>
      <c r="L25" s="6" t="s">
        <v>80</v>
      </c>
    </row>
  </sheetData>
  <mergeCells count="1">
    <mergeCell ref="J20:L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0370-656A-4BCA-B950-AA707D31C9FC}">
  <dimension ref="A1:AA184"/>
  <sheetViews>
    <sheetView tabSelected="1" topLeftCell="A70" zoomScale="70" zoomScaleNormal="70" workbookViewId="0">
      <selection activeCell="D109" sqref="D109"/>
    </sheetView>
  </sheetViews>
  <sheetFormatPr defaultRowHeight="14.4" x14ac:dyDescent="0.3"/>
  <cols>
    <col min="1" max="1" width="36.33203125" bestFit="1" customWidth="1"/>
    <col min="2" max="2" width="87.21875" bestFit="1" customWidth="1"/>
    <col min="3" max="3" width="9.6640625" bestFit="1" customWidth="1"/>
    <col min="4" max="4" width="9.6640625" customWidth="1"/>
    <col min="5" max="10" width="9.6640625" bestFit="1" customWidth="1"/>
    <col min="11" max="11" width="10.5546875" bestFit="1" customWidth="1"/>
    <col min="12" max="12" width="10.6640625" bestFit="1" customWidth="1"/>
  </cols>
  <sheetData>
    <row r="1" spans="1:27" ht="15" thickBot="1" x14ac:dyDescent="0.35">
      <c r="A1" s="43" t="s">
        <v>0</v>
      </c>
      <c r="B1" s="44" t="s">
        <v>55</v>
      </c>
      <c r="C1" s="21" t="s">
        <v>56</v>
      </c>
      <c r="D1" s="24" t="s">
        <v>1</v>
      </c>
      <c r="E1" s="52" t="s">
        <v>20</v>
      </c>
      <c r="F1" s="21" t="s">
        <v>9</v>
      </c>
      <c r="G1" s="21" t="s">
        <v>10</v>
      </c>
      <c r="H1" s="21" t="s">
        <v>11</v>
      </c>
      <c r="I1" s="21" t="s">
        <v>12</v>
      </c>
      <c r="J1" s="21" t="s">
        <v>13</v>
      </c>
      <c r="K1" s="21" t="s">
        <v>14</v>
      </c>
      <c r="L1" s="21" t="s">
        <v>15</v>
      </c>
      <c r="M1" s="21" t="s">
        <v>16</v>
      </c>
      <c r="N1" s="21" t="s">
        <v>17</v>
      </c>
      <c r="O1" s="21" t="s">
        <v>18</v>
      </c>
      <c r="P1" s="52" t="s">
        <v>2</v>
      </c>
      <c r="Q1" s="1"/>
    </row>
    <row r="2" spans="1:27" ht="15" thickTop="1" x14ac:dyDescent="0.3">
      <c r="A2" s="29" t="s">
        <v>86</v>
      </c>
      <c r="B2" s="18" t="s">
        <v>87</v>
      </c>
      <c r="C2" s="45" t="s">
        <v>58</v>
      </c>
      <c r="D2" s="27" t="s">
        <v>96</v>
      </c>
      <c r="E2" s="65">
        <v>4.2999999999999997E-2</v>
      </c>
      <c r="F2" s="55"/>
      <c r="G2" s="47"/>
      <c r="H2" s="47"/>
      <c r="I2" s="47"/>
      <c r="J2" s="47"/>
      <c r="K2" s="47"/>
      <c r="L2" s="47"/>
      <c r="M2" s="47"/>
      <c r="N2" s="47"/>
      <c r="O2" s="48"/>
      <c r="P2" s="53" t="s">
        <v>4</v>
      </c>
    </row>
    <row r="3" spans="1:27" x14ac:dyDescent="0.3">
      <c r="A3" s="29" t="s">
        <v>88</v>
      </c>
      <c r="B3" s="18" t="s">
        <v>89</v>
      </c>
      <c r="C3" s="45" t="s">
        <v>58</v>
      </c>
      <c r="D3" s="27" t="s">
        <v>97</v>
      </c>
      <c r="E3" s="66">
        <v>1.6E-2</v>
      </c>
      <c r="F3" s="56"/>
      <c r="G3" s="42"/>
      <c r="H3" s="42"/>
      <c r="I3" s="42"/>
      <c r="J3" s="42"/>
      <c r="K3" s="42"/>
      <c r="L3" s="42"/>
      <c r="M3" s="42"/>
      <c r="N3" s="42"/>
      <c r="O3" s="49"/>
      <c r="P3" s="53" t="s">
        <v>4</v>
      </c>
    </row>
    <row r="4" spans="1:27" x14ac:dyDescent="0.3">
      <c r="A4" s="29" t="s">
        <v>90</v>
      </c>
      <c r="B4" s="18" t="s">
        <v>92</v>
      </c>
      <c r="C4" s="45" t="s">
        <v>57</v>
      </c>
      <c r="D4" s="27" t="s">
        <v>94</v>
      </c>
      <c r="E4" s="68">
        <v>16</v>
      </c>
      <c r="F4" s="56"/>
      <c r="G4" s="42"/>
      <c r="H4" s="42"/>
      <c r="I4" s="42"/>
      <c r="J4" s="42"/>
      <c r="K4" s="42"/>
      <c r="L4" s="42"/>
      <c r="M4" s="42"/>
      <c r="N4" s="42"/>
      <c r="O4" s="49"/>
      <c r="P4" s="53" t="s">
        <v>98</v>
      </c>
    </row>
    <row r="5" spans="1:27" x14ac:dyDescent="0.3">
      <c r="A5" s="29" t="s">
        <v>91</v>
      </c>
      <c r="B5" s="18" t="s">
        <v>93</v>
      </c>
      <c r="C5" s="45" t="s">
        <v>57</v>
      </c>
      <c r="D5" s="27" t="s">
        <v>95</v>
      </c>
      <c r="E5" s="68">
        <v>9</v>
      </c>
      <c r="F5" s="56"/>
      <c r="G5" s="42"/>
      <c r="H5" s="42"/>
      <c r="I5" s="42"/>
      <c r="J5" s="42"/>
      <c r="K5" s="42"/>
      <c r="L5" s="42"/>
      <c r="M5" s="42"/>
      <c r="N5" s="42"/>
      <c r="O5" s="49"/>
      <c r="P5" s="53" t="s">
        <v>98</v>
      </c>
    </row>
    <row r="6" spans="1:27" x14ac:dyDescent="0.3">
      <c r="A6" s="29" t="s">
        <v>99</v>
      </c>
      <c r="B6" s="18" t="s">
        <v>101</v>
      </c>
      <c r="C6" s="45" t="s">
        <v>58</v>
      </c>
      <c r="D6" s="27" t="s">
        <v>117</v>
      </c>
      <c r="E6" s="66">
        <v>1.5999999999999999E-5</v>
      </c>
      <c r="F6" s="56"/>
      <c r="G6" s="42"/>
      <c r="H6" s="42"/>
      <c r="I6" s="42"/>
      <c r="J6" s="42"/>
      <c r="K6" s="42"/>
      <c r="L6" s="42"/>
      <c r="M6" s="42"/>
      <c r="N6" s="42"/>
      <c r="O6" s="49"/>
      <c r="P6" s="53" t="s">
        <v>123</v>
      </c>
    </row>
    <row r="7" spans="1:27" x14ac:dyDescent="0.3">
      <c r="A7" s="29" t="s">
        <v>100</v>
      </c>
      <c r="B7" s="18" t="s">
        <v>102</v>
      </c>
      <c r="C7" s="45" t="s">
        <v>58</v>
      </c>
      <c r="D7" s="27" t="s">
        <v>118</v>
      </c>
      <c r="E7" s="66">
        <v>3.9999999999999998E-6</v>
      </c>
      <c r="F7" s="56"/>
      <c r="G7" s="42"/>
      <c r="H7" s="42"/>
      <c r="I7" s="42"/>
      <c r="J7" s="42"/>
      <c r="K7" s="42"/>
      <c r="L7" s="42"/>
      <c r="M7" s="42"/>
      <c r="N7" s="42"/>
      <c r="O7" s="49"/>
      <c r="P7" s="53" t="s">
        <v>123</v>
      </c>
      <c r="Q7" s="12"/>
      <c r="U7" s="7"/>
      <c r="V7" s="7"/>
      <c r="W7" s="8"/>
      <c r="X7" s="8"/>
      <c r="Y7" s="8"/>
      <c r="Z7" s="8"/>
      <c r="AA7" s="8"/>
    </row>
    <row r="8" spans="1:27" x14ac:dyDescent="0.3">
      <c r="A8" s="29" t="s">
        <v>103</v>
      </c>
      <c r="B8" s="18" t="s">
        <v>104</v>
      </c>
      <c r="C8" s="45" t="s">
        <v>58</v>
      </c>
      <c r="D8" s="27" t="s">
        <v>119</v>
      </c>
      <c r="E8" s="66">
        <v>2.7399999999999998E-3</v>
      </c>
      <c r="F8" s="56"/>
      <c r="G8" s="33"/>
      <c r="H8" s="33"/>
      <c r="I8" s="33"/>
      <c r="J8" s="33"/>
      <c r="K8" s="33"/>
      <c r="L8" s="33"/>
      <c r="M8" s="33"/>
      <c r="N8" s="42"/>
      <c r="O8" s="49"/>
      <c r="P8" s="53" t="s">
        <v>123</v>
      </c>
    </row>
    <row r="9" spans="1:27" x14ac:dyDescent="0.3">
      <c r="A9" s="29" t="s">
        <v>105</v>
      </c>
      <c r="B9" s="18" t="s">
        <v>106</v>
      </c>
      <c r="C9" s="45" t="s">
        <v>60</v>
      </c>
      <c r="D9" s="27" t="s">
        <v>120</v>
      </c>
      <c r="E9" s="66">
        <v>50000</v>
      </c>
      <c r="F9" s="56"/>
      <c r="G9" s="33"/>
      <c r="H9" s="33"/>
      <c r="I9" s="33"/>
      <c r="J9" s="33"/>
      <c r="K9" s="33"/>
      <c r="L9" s="33"/>
      <c r="M9" s="42"/>
      <c r="N9" s="42"/>
      <c r="O9" s="49"/>
      <c r="P9" s="53" t="s">
        <v>4</v>
      </c>
    </row>
    <row r="10" spans="1:27" x14ac:dyDescent="0.3">
      <c r="A10" s="29" t="s">
        <v>113</v>
      </c>
      <c r="B10" s="18" t="s">
        <v>114</v>
      </c>
      <c r="C10" s="45" t="s">
        <v>57</v>
      </c>
      <c r="D10" s="27" t="s">
        <v>121</v>
      </c>
      <c r="E10" s="66">
        <v>13.5</v>
      </c>
      <c r="F10" s="56"/>
      <c r="G10" s="33"/>
      <c r="H10" s="33"/>
      <c r="I10" s="33"/>
      <c r="J10" s="33"/>
      <c r="K10" s="33"/>
      <c r="L10" s="33"/>
      <c r="M10" s="42"/>
      <c r="N10" s="42"/>
      <c r="O10" s="49"/>
      <c r="P10" s="53" t="s">
        <v>5</v>
      </c>
    </row>
    <row r="11" spans="1:27" x14ac:dyDescent="0.3">
      <c r="A11" s="29" t="s">
        <v>115</v>
      </c>
      <c r="B11" s="18" t="s">
        <v>116</v>
      </c>
      <c r="C11" s="45" t="s">
        <v>57</v>
      </c>
      <c r="D11" s="27" t="s">
        <v>122</v>
      </c>
      <c r="E11" s="66">
        <v>20</v>
      </c>
      <c r="F11" s="56"/>
      <c r="G11" s="42"/>
      <c r="H11" s="42"/>
      <c r="I11" s="42"/>
      <c r="J11" s="42"/>
      <c r="K11" s="42"/>
      <c r="L11" s="42"/>
      <c r="M11" s="42"/>
      <c r="N11" s="42"/>
      <c r="O11" s="49"/>
      <c r="P11" s="53" t="s">
        <v>5</v>
      </c>
    </row>
    <row r="12" spans="1:27" x14ac:dyDescent="0.3">
      <c r="A12" s="29" t="s">
        <v>19</v>
      </c>
      <c r="B12" s="18" t="s">
        <v>59</v>
      </c>
      <c r="C12" s="45" t="s">
        <v>60</v>
      </c>
      <c r="D12" s="27" t="s">
        <v>7</v>
      </c>
      <c r="E12" s="66">
        <v>25</v>
      </c>
      <c r="F12" s="56">
        <v>25</v>
      </c>
      <c r="G12" s="33">
        <v>125</v>
      </c>
      <c r="H12" s="33"/>
      <c r="I12" s="33"/>
      <c r="J12" s="33"/>
      <c r="K12" s="33"/>
      <c r="L12" s="33"/>
      <c r="M12" s="33"/>
      <c r="N12" s="33"/>
      <c r="O12" s="50"/>
      <c r="P12" s="53" t="s">
        <v>24</v>
      </c>
    </row>
    <row r="13" spans="1:27" x14ac:dyDescent="0.3">
      <c r="A13" s="29" t="s">
        <v>107</v>
      </c>
      <c r="B13" s="18" t="s">
        <v>64</v>
      </c>
      <c r="C13" s="45" t="s">
        <v>60</v>
      </c>
      <c r="D13" s="27" t="s">
        <v>111</v>
      </c>
      <c r="E13" s="66">
        <v>100000</v>
      </c>
      <c r="F13" s="56">
        <v>0</v>
      </c>
      <c r="G13" s="33">
        <v>1000</v>
      </c>
      <c r="H13" s="33">
        <v>10000</v>
      </c>
      <c r="I13" s="33">
        <v>100000</v>
      </c>
      <c r="J13" s="33">
        <v>500000</v>
      </c>
      <c r="K13" s="33"/>
      <c r="L13" s="33"/>
      <c r="M13" s="33"/>
      <c r="N13" s="33"/>
      <c r="O13" s="50"/>
      <c r="P13" s="53" t="s">
        <v>112</v>
      </c>
    </row>
    <row r="14" spans="1:27" x14ac:dyDescent="0.3">
      <c r="A14" s="29" t="s">
        <v>108</v>
      </c>
      <c r="B14" s="18" t="s">
        <v>109</v>
      </c>
      <c r="C14" s="45" t="s">
        <v>60</v>
      </c>
      <c r="D14" s="27" t="s">
        <v>110</v>
      </c>
      <c r="E14" s="66">
        <v>800</v>
      </c>
      <c r="F14" s="56">
        <v>0</v>
      </c>
      <c r="G14" s="33">
        <v>200</v>
      </c>
      <c r="H14" s="33">
        <v>400</v>
      </c>
      <c r="I14" s="33">
        <v>600</v>
      </c>
      <c r="J14" s="33">
        <v>800</v>
      </c>
      <c r="K14" s="33">
        <v>1000</v>
      </c>
      <c r="L14" s="33"/>
      <c r="M14" s="33"/>
      <c r="N14" s="33"/>
      <c r="O14" s="50"/>
      <c r="P14" s="53" t="s">
        <v>3</v>
      </c>
    </row>
    <row r="15" spans="1:27" x14ac:dyDescent="0.3">
      <c r="A15" s="29" t="s">
        <v>134</v>
      </c>
      <c r="B15" s="18" t="s">
        <v>135</v>
      </c>
      <c r="C15" s="45" t="s">
        <v>60</v>
      </c>
      <c r="D15" s="27" t="s">
        <v>136</v>
      </c>
      <c r="E15" s="66">
        <v>0.1</v>
      </c>
      <c r="F15" s="56">
        <v>0</v>
      </c>
      <c r="G15" s="33">
        <v>2.5000000000000001E-2</v>
      </c>
      <c r="H15" s="33">
        <v>0.05</v>
      </c>
      <c r="I15" s="33">
        <v>0.1</v>
      </c>
      <c r="J15" s="33">
        <v>0.15</v>
      </c>
      <c r="K15" s="33"/>
      <c r="L15" s="33"/>
      <c r="M15" s="33"/>
      <c r="N15" s="33"/>
      <c r="O15" s="50"/>
      <c r="P15" s="53" t="s">
        <v>137</v>
      </c>
    </row>
    <row r="16" spans="1:27" x14ac:dyDescent="0.3">
      <c r="A16" s="29" t="s">
        <v>61</v>
      </c>
      <c r="B16" s="18" t="s">
        <v>125</v>
      </c>
      <c r="C16" s="45" t="s">
        <v>60</v>
      </c>
      <c r="D16" s="27" t="s">
        <v>128</v>
      </c>
      <c r="E16" s="66"/>
      <c r="F16" s="56"/>
      <c r="G16" s="33"/>
      <c r="H16" s="33"/>
      <c r="I16" s="33"/>
      <c r="J16" s="33"/>
      <c r="K16" s="33"/>
      <c r="L16" s="33"/>
      <c r="M16" s="33"/>
      <c r="N16" s="33"/>
      <c r="O16" s="50"/>
      <c r="P16" s="53" t="s">
        <v>63</v>
      </c>
    </row>
    <row r="17" spans="1:16" x14ac:dyDescent="0.3">
      <c r="A17" s="29" t="s">
        <v>62</v>
      </c>
      <c r="B17" s="18" t="s">
        <v>126</v>
      </c>
      <c r="C17" s="45" t="s">
        <v>60</v>
      </c>
      <c r="D17" s="27" t="s">
        <v>129</v>
      </c>
      <c r="E17" s="66"/>
      <c r="F17" s="56"/>
      <c r="G17" s="33"/>
      <c r="H17" s="33"/>
      <c r="I17" s="33"/>
      <c r="J17" s="33"/>
      <c r="K17" s="33"/>
      <c r="L17" s="33"/>
      <c r="M17" s="33"/>
      <c r="N17" s="33"/>
      <c r="O17" s="50"/>
      <c r="P17" s="53" t="s">
        <v>63</v>
      </c>
    </row>
    <row r="18" spans="1:16" x14ac:dyDescent="0.3">
      <c r="A18" s="29" t="s">
        <v>124</v>
      </c>
      <c r="B18" s="18" t="s">
        <v>127</v>
      </c>
      <c r="C18" s="45" t="s">
        <v>60</v>
      </c>
      <c r="D18" s="27" t="s">
        <v>130</v>
      </c>
      <c r="E18" s="66"/>
      <c r="F18" s="56"/>
      <c r="G18" s="33"/>
      <c r="H18" s="33"/>
      <c r="I18" s="33"/>
      <c r="J18" s="33"/>
      <c r="K18" s="33"/>
      <c r="L18" s="33"/>
      <c r="M18" s="33"/>
      <c r="N18" s="33"/>
      <c r="O18" s="50"/>
      <c r="P18" s="53" t="s">
        <v>63</v>
      </c>
    </row>
    <row r="19" spans="1:16" x14ac:dyDescent="0.3">
      <c r="A19" s="29" t="s">
        <v>169</v>
      </c>
      <c r="B19" s="18" t="s">
        <v>170</v>
      </c>
      <c r="C19" s="45" t="s">
        <v>57</v>
      </c>
      <c r="D19" s="27" t="s">
        <v>5</v>
      </c>
      <c r="E19" s="72">
        <v>3.9199999999999999E-4</v>
      </c>
      <c r="F19" s="73"/>
      <c r="G19" s="74"/>
      <c r="H19" s="74"/>
      <c r="I19" s="74"/>
      <c r="J19" s="74"/>
      <c r="K19" s="74"/>
      <c r="L19" s="74"/>
      <c r="M19" s="74"/>
      <c r="N19" s="74"/>
      <c r="O19" s="75"/>
      <c r="P19" s="53" t="s">
        <v>171</v>
      </c>
    </row>
    <row r="20" spans="1:16" x14ac:dyDescent="0.3">
      <c r="A20" s="29"/>
      <c r="B20" s="18"/>
      <c r="C20" s="45"/>
      <c r="D20" s="27"/>
      <c r="E20" s="72"/>
      <c r="F20" s="73"/>
      <c r="G20" s="74"/>
      <c r="H20" s="74"/>
      <c r="I20" s="74"/>
      <c r="J20" s="74"/>
      <c r="K20" s="74"/>
      <c r="L20" s="74"/>
      <c r="M20" s="74"/>
      <c r="N20" s="74"/>
      <c r="O20" s="75"/>
      <c r="P20" s="53"/>
    </row>
    <row r="21" spans="1:16" x14ac:dyDescent="0.3">
      <c r="A21" s="29"/>
      <c r="B21" s="18"/>
      <c r="C21" s="45"/>
      <c r="D21" s="27"/>
      <c r="E21" s="72"/>
      <c r="F21" s="73"/>
      <c r="G21" s="74"/>
      <c r="H21" s="74"/>
      <c r="I21" s="74"/>
      <c r="J21" s="74"/>
      <c r="K21" s="74"/>
      <c r="L21" s="74"/>
      <c r="M21" s="74"/>
      <c r="N21" s="74"/>
      <c r="O21" s="75"/>
      <c r="P21" s="53"/>
    </row>
    <row r="22" spans="1:16" x14ac:dyDescent="0.3">
      <c r="A22" s="29"/>
      <c r="B22" s="18"/>
      <c r="C22" s="45"/>
      <c r="D22" s="27"/>
      <c r="E22" s="72"/>
      <c r="F22" s="73"/>
      <c r="G22" s="74"/>
      <c r="H22" s="74"/>
      <c r="I22" s="74"/>
      <c r="J22" s="74"/>
      <c r="K22" s="74"/>
      <c r="L22" s="74"/>
      <c r="M22" s="74"/>
      <c r="N22" s="74"/>
      <c r="O22" s="75"/>
      <c r="P22" s="53"/>
    </row>
    <row r="23" spans="1:16" x14ac:dyDescent="0.3">
      <c r="A23" s="29"/>
      <c r="B23" s="18"/>
      <c r="C23" s="45"/>
      <c r="D23" s="27"/>
      <c r="E23" s="72"/>
      <c r="F23" s="73"/>
      <c r="G23" s="74"/>
      <c r="H23" s="74"/>
      <c r="I23" s="74"/>
      <c r="J23" s="74"/>
      <c r="K23" s="74"/>
      <c r="L23" s="74"/>
      <c r="M23" s="74"/>
      <c r="N23" s="74"/>
      <c r="O23" s="75"/>
      <c r="P23" s="53"/>
    </row>
    <row r="24" spans="1:16" x14ac:dyDescent="0.3">
      <c r="A24" s="29"/>
      <c r="B24" s="18"/>
      <c r="C24" s="45"/>
      <c r="D24" s="27"/>
      <c r="E24" s="72"/>
      <c r="F24" s="73"/>
      <c r="G24" s="74"/>
      <c r="H24" s="74"/>
      <c r="I24" s="74"/>
      <c r="J24" s="74"/>
      <c r="K24" s="74"/>
      <c r="L24" s="74"/>
      <c r="M24" s="74"/>
      <c r="N24" s="74"/>
      <c r="O24" s="75"/>
      <c r="P24" s="53"/>
    </row>
    <row r="25" spans="1:16" x14ac:dyDescent="0.3">
      <c r="A25" s="29"/>
      <c r="B25" s="18"/>
      <c r="C25" s="45"/>
      <c r="D25" s="27"/>
      <c r="E25" s="72"/>
      <c r="F25" s="73"/>
      <c r="G25" s="74"/>
      <c r="H25" s="74"/>
      <c r="I25" s="74"/>
      <c r="J25" s="74"/>
      <c r="K25" s="74"/>
      <c r="L25" s="74"/>
      <c r="M25" s="74"/>
      <c r="N25" s="74"/>
      <c r="O25" s="75"/>
      <c r="P25" s="53"/>
    </row>
    <row r="26" spans="1:16" x14ac:dyDescent="0.3">
      <c r="A26" s="29"/>
      <c r="B26" s="18"/>
      <c r="C26" s="45"/>
      <c r="D26" s="27"/>
      <c r="E26" s="72"/>
      <c r="F26" s="73"/>
      <c r="G26" s="74"/>
      <c r="H26" s="74"/>
      <c r="I26" s="74"/>
      <c r="J26" s="74"/>
      <c r="K26" s="74"/>
      <c r="L26" s="74"/>
      <c r="M26" s="74"/>
      <c r="N26" s="74"/>
      <c r="O26" s="75"/>
      <c r="P26" s="53"/>
    </row>
    <row r="27" spans="1:16" ht="15" thickBot="1" x14ac:dyDescent="0.35">
      <c r="A27" s="30"/>
      <c r="B27" s="46"/>
      <c r="C27" s="25"/>
      <c r="D27" s="28"/>
      <c r="E27" s="67"/>
      <c r="F27" s="57"/>
      <c r="G27" s="40"/>
      <c r="H27" s="40"/>
      <c r="I27" s="40"/>
      <c r="J27" s="40"/>
      <c r="K27" s="40"/>
      <c r="L27" s="40"/>
      <c r="M27" s="40"/>
      <c r="N27" s="40"/>
      <c r="O27" s="51"/>
      <c r="P27" s="54"/>
    </row>
    <row r="31" spans="1:16" ht="15" thickBot="1" x14ac:dyDescent="0.35"/>
    <row r="32" spans="1:16" x14ac:dyDescent="0.3">
      <c r="A32" s="79" t="s">
        <v>132</v>
      </c>
      <c r="B32" s="80"/>
      <c r="C32" s="80"/>
      <c r="D32" s="80"/>
      <c r="E32" s="80"/>
      <c r="F32" s="80"/>
      <c r="G32" s="80"/>
      <c r="H32" s="80"/>
      <c r="I32" s="80"/>
      <c r="J32" s="80"/>
      <c r="K32" s="81"/>
    </row>
    <row r="33" spans="1:11" x14ac:dyDescent="0.3">
      <c r="A33" s="85" t="s">
        <v>131</v>
      </c>
      <c r="B33" s="82" t="s">
        <v>29</v>
      </c>
      <c r="C33" s="83"/>
      <c r="D33" s="83"/>
      <c r="E33" s="83"/>
      <c r="F33" s="83"/>
      <c r="G33" s="83"/>
      <c r="H33" s="83"/>
      <c r="I33" s="83"/>
      <c r="J33" s="83"/>
      <c r="K33" s="84"/>
    </row>
    <row r="34" spans="1:11" ht="15" thickBot="1" x14ac:dyDescent="0.35">
      <c r="A34" s="86"/>
      <c r="B34" s="35">
        <f t="shared" ref="B34" si="0">F$12</f>
        <v>25</v>
      </c>
      <c r="C34" s="36">
        <f t="shared" ref="C34" si="1">G$12</f>
        <v>125</v>
      </c>
      <c r="D34" s="36">
        <f t="shared" ref="D34:K34" si="2">H$12</f>
        <v>0</v>
      </c>
      <c r="E34" s="36">
        <f t="shared" si="2"/>
        <v>0</v>
      </c>
      <c r="F34" s="36">
        <f t="shared" si="2"/>
        <v>0</v>
      </c>
      <c r="G34" s="36">
        <f t="shared" si="2"/>
        <v>0</v>
      </c>
      <c r="H34" s="36">
        <f t="shared" si="2"/>
        <v>0</v>
      </c>
      <c r="I34" s="36">
        <f t="shared" si="2"/>
        <v>0</v>
      </c>
      <c r="J34" s="36">
        <f t="shared" si="2"/>
        <v>0</v>
      </c>
      <c r="K34" s="37">
        <f t="shared" si="2"/>
        <v>0</v>
      </c>
    </row>
    <row r="35" spans="1:11" ht="15" thickTop="1" x14ac:dyDescent="0.3">
      <c r="A35" s="31">
        <f>F$13</f>
        <v>0</v>
      </c>
      <c r="B35" s="34">
        <v>4.2999999999999997E-2</v>
      </c>
      <c r="C35" s="34">
        <f>1.5*B35</f>
        <v>6.4500000000000002E-2</v>
      </c>
      <c r="D35" s="34"/>
      <c r="E35" s="34"/>
      <c r="F35" s="34"/>
      <c r="G35" s="34"/>
      <c r="H35" s="34"/>
      <c r="I35" s="34"/>
      <c r="J35" s="34"/>
      <c r="K35" s="38"/>
    </row>
    <row r="36" spans="1:11" x14ac:dyDescent="0.3">
      <c r="A36" s="31">
        <f>G$13</f>
        <v>1000</v>
      </c>
      <c r="B36" s="33">
        <v>0.05</v>
      </c>
      <c r="C36" s="34">
        <f t="shared" ref="C36:C39" si="3">1.5*B36</f>
        <v>7.5000000000000011E-2</v>
      </c>
      <c r="D36" s="33"/>
      <c r="E36" s="33"/>
      <c r="F36" s="33"/>
      <c r="G36" s="33"/>
      <c r="H36" s="33"/>
      <c r="I36" s="33"/>
      <c r="J36" s="33"/>
      <c r="K36" s="39"/>
    </row>
    <row r="37" spans="1:11" x14ac:dyDescent="0.3">
      <c r="A37" s="31">
        <f>H$13</f>
        <v>10000</v>
      </c>
      <c r="B37" s="33">
        <v>0.06</v>
      </c>
      <c r="C37" s="34">
        <f t="shared" si="3"/>
        <v>0.09</v>
      </c>
      <c r="D37" s="33"/>
      <c r="E37" s="33"/>
      <c r="F37" s="33"/>
      <c r="G37" s="33"/>
      <c r="H37" s="33"/>
      <c r="I37" s="33"/>
      <c r="J37" s="33"/>
      <c r="K37" s="39"/>
    </row>
    <row r="38" spans="1:11" x14ac:dyDescent="0.3">
      <c r="A38" s="31">
        <f>I$13</f>
        <v>100000</v>
      </c>
      <c r="B38" s="33">
        <v>0.1</v>
      </c>
      <c r="C38" s="34">
        <f t="shared" si="3"/>
        <v>0.15000000000000002</v>
      </c>
      <c r="D38" s="33"/>
      <c r="E38" s="33"/>
      <c r="F38" s="33"/>
      <c r="G38" s="33"/>
      <c r="H38" s="33"/>
      <c r="I38" s="33"/>
      <c r="J38" s="33"/>
      <c r="K38" s="39"/>
    </row>
    <row r="39" spans="1:11" x14ac:dyDescent="0.3">
      <c r="A39" s="31">
        <f>J$13</f>
        <v>500000</v>
      </c>
      <c r="B39" s="33">
        <v>1</v>
      </c>
      <c r="C39" s="34">
        <f t="shared" si="3"/>
        <v>1.5</v>
      </c>
      <c r="D39" s="33"/>
      <c r="E39" s="33"/>
      <c r="F39" s="33"/>
      <c r="G39" s="33"/>
      <c r="H39" s="33"/>
      <c r="I39" s="33"/>
      <c r="J39" s="33"/>
      <c r="K39" s="39"/>
    </row>
    <row r="40" spans="1:11" x14ac:dyDescent="0.3">
      <c r="A40" s="31">
        <f>K$13</f>
        <v>0</v>
      </c>
      <c r="B40" s="33"/>
      <c r="C40" s="33"/>
      <c r="D40" s="33"/>
      <c r="E40" s="33"/>
      <c r="F40" s="33"/>
      <c r="G40" s="33"/>
      <c r="H40" s="33"/>
      <c r="I40" s="33"/>
      <c r="J40" s="33"/>
      <c r="K40" s="39"/>
    </row>
    <row r="41" spans="1:11" x14ac:dyDescent="0.3">
      <c r="A41" s="31">
        <f>L$13</f>
        <v>0</v>
      </c>
      <c r="B41" s="33"/>
      <c r="C41" s="33"/>
      <c r="D41" s="33"/>
      <c r="E41" s="33"/>
      <c r="F41" s="33"/>
      <c r="G41" s="33"/>
      <c r="H41" s="33"/>
      <c r="I41" s="33"/>
      <c r="J41" s="33"/>
      <c r="K41" s="39"/>
    </row>
    <row r="42" spans="1:11" x14ac:dyDescent="0.3">
      <c r="A42" s="31">
        <f>M$13</f>
        <v>0</v>
      </c>
      <c r="B42" s="33"/>
      <c r="C42" s="33"/>
      <c r="D42" s="33"/>
      <c r="E42" s="33"/>
      <c r="F42" s="33"/>
      <c r="G42" s="33"/>
      <c r="H42" s="33"/>
      <c r="I42" s="33"/>
      <c r="J42" s="33"/>
      <c r="K42" s="39"/>
    </row>
    <row r="43" spans="1:11" x14ac:dyDescent="0.3">
      <c r="A43" s="31">
        <f>N$13</f>
        <v>0</v>
      </c>
      <c r="B43" s="33"/>
      <c r="C43" s="33"/>
      <c r="D43" s="33"/>
      <c r="E43" s="33"/>
      <c r="F43" s="33"/>
      <c r="G43" s="33"/>
      <c r="H43" s="33"/>
      <c r="I43" s="33"/>
      <c r="J43" s="33"/>
      <c r="K43" s="39"/>
    </row>
    <row r="44" spans="1:11" ht="15" thickBot="1" x14ac:dyDescent="0.35">
      <c r="A44" s="32">
        <f>O$13</f>
        <v>0</v>
      </c>
      <c r="B44" s="40"/>
      <c r="C44" s="40"/>
      <c r="D44" s="40"/>
      <c r="E44" s="40"/>
      <c r="F44" s="40"/>
      <c r="G44" s="40"/>
      <c r="H44" s="40"/>
      <c r="I44" s="40"/>
      <c r="J44" s="40"/>
      <c r="K44" s="41"/>
    </row>
    <row r="51" spans="1:11" ht="15" thickBot="1" x14ac:dyDescent="0.35"/>
    <row r="52" spans="1:11" x14ac:dyDescent="0.3">
      <c r="A52" s="79" t="s">
        <v>133</v>
      </c>
      <c r="B52" s="80"/>
      <c r="C52" s="80"/>
      <c r="D52" s="80"/>
      <c r="E52" s="80"/>
      <c r="F52" s="80"/>
      <c r="G52" s="80"/>
      <c r="H52" s="80"/>
      <c r="I52" s="80"/>
      <c r="J52" s="80"/>
      <c r="K52" s="81"/>
    </row>
    <row r="53" spans="1:11" x14ac:dyDescent="0.3">
      <c r="A53" s="85" t="s">
        <v>131</v>
      </c>
      <c r="B53" s="82" t="s">
        <v>29</v>
      </c>
      <c r="C53" s="83"/>
      <c r="D53" s="83"/>
      <c r="E53" s="83"/>
      <c r="F53" s="83"/>
      <c r="G53" s="83"/>
      <c r="H53" s="83"/>
      <c r="I53" s="83"/>
      <c r="J53" s="83"/>
      <c r="K53" s="84"/>
    </row>
    <row r="54" spans="1:11" ht="15" thickBot="1" x14ac:dyDescent="0.35">
      <c r="A54" s="86"/>
      <c r="B54" s="35">
        <f t="shared" ref="B54" si="4">F$12</f>
        <v>25</v>
      </c>
      <c r="C54" s="36">
        <f t="shared" ref="C54" si="5">G$12</f>
        <v>125</v>
      </c>
      <c r="D54" s="36">
        <f t="shared" ref="D54" si="6">H$12</f>
        <v>0</v>
      </c>
      <c r="E54" s="36">
        <f t="shared" ref="E54" si="7">I$12</f>
        <v>0</v>
      </c>
      <c r="F54" s="36">
        <f t="shared" ref="F54" si="8">J$12</f>
        <v>0</v>
      </c>
      <c r="G54" s="36">
        <f t="shared" ref="G54" si="9">K$12</f>
        <v>0</v>
      </c>
      <c r="H54" s="36">
        <f t="shared" ref="H54" si="10">L$12</f>
        <v>0</v>
      </c>
      <c r="I54" s="36">
        <f t="shared" ref="I54" si="11">M$12</f>
        <v>0</v>
      </c>
      <c r="J54" s="36">
        <f t="shared" ref="J54" si="12">N$12</f>
        <v>0</v>
      </c>
      <c r="K54" s="37">
        <f t="shared" ref="K54" si="13">O$12</f>
        <v>0</v>
      </c>
    </row>
    <row r="55" spans="1:11" ht="15" thickTop="1" x14ac:dyDescent="0.3">
      <c r="A55" s="31">
        <f>F$13</f>
        <v>0</v>
      </c>
      <c r="B55" s="34">
        <v>1.6E-2</v>
      </c>
      <c r="C55" s="34">
        <f>1.5*B55</f>
        <v>2.4E-2</v>
      </c>
      <c r="D55" s="34"/>
      <c r="E55" s="34"/>
      <c r="F55" s="34"/>
      <c r="G55" s="34"/>
      <c r="H55" s="34"/>
      <c r="I55" s="34"/>
      <c r="J55" s="34"/>
      <c r="K55" s="38"/>
    </row>
    <row r="56" spans="1:11" x14ac:dyDescent="0.3">
      <c r="A56" s="31">
        <f>G$13</f>
        <v>1000</v>
      </c>
      <c r="B56" s="33">
        <v>1.7999999999999999E-2</v>
      </c>
      <c r="C56" s="34">
        <f t="shared" ref="C56:C59" si="14">1.5*B56</f>
        <v>2.6999999999999996E-2</v>
      </c>
      <c r="D56" s="33"/>
      <c r="E56" s="33"/>
      <c r="F56" s="33"/>
      <c r="G56" s="33"/>
      <c r="H56" s="33"/>
      <c r="I56" s="33"/>
      <c r="J56" s="33"/>
      <c r="K56" s="39"/>
    </row>
    <row r="57" spans="1:11" x14ac:dyDescent="0.3">
      <c r="A57" s="31">
        <f>H$13</f>
        <v>10000</v>
      </c>
      <c r="B57" s="33">
        <v>0.02</v>
      </c>
      <c r="C57" s="34">
        <f t="shared" si="14"/>
        <v>0.03</v>
      </c>
      <c r="D57" s="33"/>
      <c r="E57" s="33"/>
      <c r="F57" s="33"/>
      <c r="G57" s="33"/>
      <c r="H57" s="33"/>
      <c r="I57" s="33"/>
      <c r="J57" s="33"/>
      <c r="K57" s="39"/>
    </row>
    <row r="58" spans="1:11" x14ac:dyDescent="0.3">
      <c r="A58" s="31">
        <f>I$13</f>
        <v>100000</v>
      </c>
      <c r="B58" s="33">
        <v>0.04</v>
      </c>
      <c r="C58" s="34">
        <f t="shared" si="14"/>
        <v>0.06</v>
      </c>
      <c r="D58" s="33"/>
      <c r="E58" s="33"/>
      <c r="F58" s="33"/>
      <c r="G58" s="33"/>
      <c r="H58" s="33"/>
      <c r="I58" s="33"/>
      <c r="J58" s="33"/>
      <c r="K58" s="39"/>
    </row>
    <row r="59" spans="1:11" x14ac:dyDescent="0.3">
      <c r="A59" s="31">
        <f>J$13</f>
        <v>500000</v>
      </c>
      <c r="B59" s="33">
        <v>0.3</v>
      </c>
      <c r="C59" s="34">
        <f t="shared" si="14"/>
        <v>0.44999999999999996</v>
      </c>
      <c r="D59" s="33"/>
      <c r="E59" s="33"/>
      <c r="F59" s="33"/>
      <c r="G59" s="33"/>
      <c r="H59" s="33"/>
      <c r="I59" s="33"/>
      <c r="J59" s="33"/>
      <c r="K59" s="39"/>
    </row>
    <row r="60" spans="1:11" x14ac:dyDescent="0.3">
      <c r="A60" s="31">
        <f>K$13</f>
        <v>0</v>
      </c>
      <c r="B60" s="33"/>
      <c r="C60" s="33"/>
      <c r="D60" s="33"/>
      <c r="E60" s="33"/>
      <c r="F60" s="33"/>
      <c r="G60" s="33"/>
      <c r="H60" s="33"/>
      <c r="I60" s="33"/>
      <c r="J60" s="33"/>
      <c r="K60" s="39"/>
    </row>
    <row r="61" spans="1:11" x14ac:dyDescent="0.3">
      <c r="A61" s="31">
        <f>L$13</f>
        <v>0</v>
      </c>
      <c r="B61" s="33"/>
      <c r="C61" s="33"/>
      <c r="D61" s="33"/>
      <c r="E61" s="33"/>
      <c r="F61" s="33"/>
      <c r="G61" s="33"/>
      <c r="H61" s="33"/>
      <c r="I61" s="33"/>
      <c r="J61" s="33"/>
      <c r="K61" s="39"/>
    </row>
    <row r="62" spans="1:11" x14ac:dyDescent="0.3">
      <c r="A62" s="31">
        <f>M$13</f>
        <v>0</v>
      </c>
      <c r="B62" s="33"/>
      <c r="C62" s="33"/>
      <c r="D62" s="33"/>
      <c r="E62" s="33"/>
      <c r="F62" s="33"/>
      <c r="G62" s="33"/>
      <c r="H62" s="33"/>
      <c r="I62" s="33"/>
      <c r="J62" s="33"/>
      <c r="K62" s="39"/>
    </row>
    <row r="63" spans="1:11" x14ac:dyDescent="0.3">
      <c r="A63" s="31">
        <f>N$13</f>
        <v>0</v>
      </c>
      <c r="B63" s="33"/>
      <c r="C63" s="33"/>
      <c r="D63" s="33"/>
      <c r="E63" s="33"/>
      <c r="F63" s="33"/>
      <c r="G63" s="33"/>
      <c r="H63" s="33"/>
      <c r="I63" s="33"/>
      <c r="J63" s="33"/>
      <c r="K63" s="39"/>
    </row>
    <row r="64" spans="1:11" ht="15" thickBot="1" x14ac:dyDescent="0.35">
      <c r="A64" s="32">
        <f>O$13</f>
        <v>0</v>
      </c>
      <c r="B64" s="40"/>
      <c r="C64" s="40"/>
      <c r="D64" s="40"/>
      <c r="E64" s="40"/>
      <c r="F64" s="40"/>
      <c r="G64" s="40"/>
      <c r="H64" s="40"/>
      <c r="I64" s="40"/>
      <c r="J64" s="40"/>
      <c r="K64" s="41"/>
    </row>
    <row r="71" spans="1:11" ht="15" thickBot="1" x14ac:dyDescent="0.35"/>
    <row r="72" spans="1:11" x14ac:dyDescent="0.3">
      <c r="A72" s="79" t="s">
        <v>138</v>
      </c>
      <c r="B72" s="80"/>
      <c r="C72" s="80"/>
      <c r="D72" s="80"/>
      <c r="E72" s="80"/>
      <c r="F72" s="80"/>
      <c r="G72" s="80"/>
      <c r="H72" s="80"/>
      <c r="I72" s="80"/>
      <c r="J72" s="80"/>
      <c r="K72" s="81"/>
    </row>
    <row r="73" spans="1:11" x14ac:dyDescent="0.3">
      <c r="A73" s="85" t="s">
        <v>139</v>
      </c>
      <c r="B73" s="82" t="s">
        <v>29</v>
      </c>
      <c r="C73" s="83"/>
      <c r="D73" s="83"/>
      <c r="E73" s="83"/>
      <c r="F73" s="83"/>
      <c r="G73" s="83"/>
      <c r="H73" s="83"/>
      <c r="I73" s="83"/>
      <c r="J73" s="83"/>
      <c r="K73" s="84"/>
    </row>
    <row r="74" spans="1:11" ht="15" thickBot="1" x14ac:dyDescent="0.35">
      <c r="A74" s="86"/>
      <c r="B74" s="35">
        <f t="shared" ref="B74" si="15">F$12</f>
        <v>25</v>
      </c>
      <c r="C74" s="36">
        <f t="shared" ref="C74" si="16">G$12</f>
        <v>125</v>
      </c>
      <c r="D74" s="36">
        <f t="shared" ref="D74" si="17">H$12</f>
        <v>0</v>
      </c>
      <c r="E74" s="36">
        <f t="shared" ref="E74" si="18">I$12</f>
        <v>0</v>
      </c>
      <c r="F74" s="36">
        <f t="shared" ref="F74" si="19">J$12</f>
        <v>0</v>
      </c>
      <c r="G74" s="36">
        <f t="shared" ref="G74" si="20">K$12</f>
        <v>0</v>
      </c>
      <c r="H74" s="36">
        <f t="shared" ref="H74" si="21">L$12</f>
        <v>0</v>
      </c>
      <c r="I74" s="36">
        <f t="shared" ref="I74" si="22">M$12</f>
        <v>0</v>
      </c>
      <c r="J74" s="36">
        <f t="shared" ref="J74" si="23">N$12</f>
        <v>0</v>
      </c>
      <c r="K74" s="37">
        <f t="shared" ref="K74" si="24">O$12</f>
        <v>0</v>
      </c>
    </row>
    <row r="75" spans="1:11" ht="15" thickTop="1" x14ac:dyDescent="0.3">
      <c r="A75" s="31">
        <f>F$15</f>
        <v>0</v>
      </c>
      <c r="B75" s="34">
        <v>2.7399999999999998E-3</v>
      </c>
      <c r="C75" s="34">
        <v>2.7399999999999998E-3</v>
      </c>
      <c r="D75" s="34"/>
      <c r="E75" s="34"/>
      <c r="F75" s="34"/>
      <c r="G75" s="34"/>
      <c r="H75" s="34"/>
      <c r="I75" s="34"/>
      <c r="J75" s="34"/>
      <c r="K75" s="38"/>
    </row>
    <row r="76" spans="1:11" x14ac:dyDescent="0.3">
      <c r="A76" s="31">
        <f>G$15</f>
        <v>2.5000000000000001E-2</v>
      </c>
      <c r="B76" s="34">
        <v>2.7399999999999998E-3</v>
      </c>
      <c r="C76" s="34">
        <v>2.7399999999999998E-3</v>
      </c>
      <c r="D76" s="33"/>
      <c r="E76" s="33"/>
      <c r="F76" s="33"/>
      <c r="G76" s="33"/>
      <c r="H76" s="33"/>
      <c r="I76" s="33"/>
      <c r="J76" s="33"/>
      <c r="K76" s="39"/>
    </row>
    <row r="77" spans="1:11" x14ac:dyDescent="0.3">
      <c r="A77" s="31">
        <f>H$15</f>
        <v>0.05</v>
      </c>
      <c r="B77" s="34">
        <v>2.7399999999999998E-3</v>
      </c>
      <c r="C77" s="34">
        <v>2.7399999999999998E-3</v>
      </c>
      <c r="D77" s="33"/>
      <c r="E77" s="33"/>
      <c r="F77" s="33"/>
      <c r="G77" s="33"/>
      <c r="H77" s="33"/>
      <c r="I77" s="33"/>
      <c r="J77" s="33"/>
      <c r="K77" s="39"/>
    </row>
    <row r="78" spans="1:11" x14ac:dyDescent="0.3">
      <c r="A78" s="31">
        <f>I$15</f>
        <v>0.1</v>
      </c>
      <c r="B78" s="34">
        <v>2.7399999999999998E-3</v>
      </c>
      <c r="C78" s="34">
        <v>2.7399999999999998E-3</v>
      </c>
      <c r="D78" s="33"/>
      <c r="E78" s="33"/>
      <c r="F78" s="33"/>
      <c r="G78" s="33"/>
      <c r="H78" s="33"/>
      <c r="I78" s="33"/>
      <c r="J78" s="33"/>
      <c r="K78" s="39"/>
    </row>
    <row r="79" spans="1:11" x14ac:dyDescent="0.3">
      <c r="A79" s="31">
        <f>J$15</f>
        <v>0.15</v>
      </c>
      <c r="B79" s="34">
        <v>2.7399999999999998E-3</v>
      </c>
      <c r="C79" s="34">
        <v>2.7399999999999998E-3</v>
      </c>
      <c r="D79" s="33"/>
      <c r="E79" s="33"/>
      <c r="F79" s="33"/>
      <c r="G79" s="33"/>
      <c r="H79" s="33"/>
      <c r="I79" s="33"/>
      <c r="J79" s="33"/>
      <c r="K79" s="39"/>
    </row>
    <row r="80" spans="1:11" x14ac:dyDescent="0.3">
      <c r="A80" s="31">
        <f>K$15</f>
        <v>0</v>
      </c>
      <c r="B80" s="33"/>
      <c r="C80" s="33"/>
      <c r="D80" s="33"/>
      <c r="E80" s="33"/>
      <c r="F80" s="33"/>
      <c r="G80" s="33"/>
      <c r="H80" s="33"/>
      <c r="I80" s="33"/>
      <c r="J80" s="33"/>
      <c r="K80" s="39"/>
    </row>
    <row r="81" spans="1:11" x14ac:dyDescent="0.3">
      <c r="A81" s="31">
        <f>L$15</f>
        <v>0</v>
      </c>
      <c r="B81" s="33"/>
      <c r="C81" s="33"/>
      <c r="D81" s="33"/>
      <c r="E81" s="33"/>
      <c r="F81" s="33"/>
      <c r="G81" s="33"/>
      <c r="H81" s="33"/>
      <c r="I81" s="33"/>
      <c r="J81" s="33"/>
      <c r="K81" s="39"/>
    </row>
    <row r="82" spans="1:11" x14ac:dyDescent="0.3">
      <c r="A82" s="31">
        <f>M$15</f>
        <v>0</v>
      </c>
      <c r="B82" s="33"/>
      <c r="C82" s="33"/>
      <c r="D82" s="33"/>
      <c r="E82" s="33"/>
      <c r="F82" s="33"/>
      <c r="G82" s="33"/>
      <c r="H82" s="33"/>
      <c r="I82" s="33"/>
      <c r="J82" s="33"/>
      <c r="K82" s="39"/>
    </row>
    <row r="83" spans="1:11" x14ac:dyDescent="0.3">
      <c r="A83" s="31">
        <f>N$15</f>
        <v>0</v>
      </c>
      <c r="B83" s="33"/>
      <c r="C83" s="33"/>
      <c r="D83" s="33"/>
      <c r="E83" s="33"/>
      <c r="F83" s="33"/>
      <c r="G83" s="33"/>
      <c r="H83" s="33"/>
      <c r="I83" s="33"/>
      <c r="J83" s="33"/>
      <c r="K83" s="39"/>
    </row>
    <row r="84" spans="1:11" ht="15" thickBot="1" x14ac:dyDescent="0.35">
      <c r="A84" s="32">
        <f>O$15</f>
        <v>0</v>
      </c>
      <c r="B84" s="40"/>
      <c r="C84" s="40"/>
      <c r="D84" s="40"/>
      <c r="E84" s="40"/>
      <c r="F84" s="40"/>
      <c r="G84" s="40"/>
      <c r="H84" s="40"/>
      <c r="I84" s="40"/>
      <c r="J84" s="40"/>
      <c r="K84" s="41"/>
    </row>
    <row r="91" spans="1:11" ht="15" thickBot="1" x14ac:dyDescent="0.35"/>
    <row r="92" spans="1:11" x14ac:dyDescent="0.3">
      <c r="A92" s="79" t="s">
        <v>140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</row>
    <row r="93" spans="1:11" x14ac:dyDescent="0.3">
      <c r="A93" s="85" t="s">
        <v>139</v>
      </c>
      <c r="B93" s="82" t="s">
        <v>29</v>
      </c>
      <c r="C93" s="83"/>
      <c r="D93" s="83"/>
      <c r="E93" s="83"/>
      <c r="F93" s="83"/>
      <c r="G93" s="83"/>
      <c r="H93" s="83"/>
      <c r="I93" s="83"/>
      <c r="J93" s="83"/>
      <c r="K93" s="84"/>
    </row>
    <row r="94" spans="1:11" ht="15" thickBot="1" x14ac:dyDescent="0.35">
      <c r="A94" s="86"/>
      <c r="B94" s="35">
        <f t="shared" ref="B94" si="25">F$12</f>
        <v>25</v>
      </c>
      <c r="C94" s="36">
        <f t="shared" ref="C94" si="26">G$12</f>
        <v>125</v>
      </c>
      <c r="D94" s="36">
        <f t="shared" ref="D94" si="27">H$12</f>
        <v>0</v>
      </c>
      <c r="E94" s="36">
        <f t="shared" ref="E94" si="28">I$12</f>
        <v>0</v>
      </c>
      <c r="F94" s="36">
        <f t="shared" ref="F94" si="29">J$12</f>
        <v>0</v>
      </c>
      <c r="G94" s="36">
        <f t="shared" ref="G94" si="30">K$12</f>
        <v>0</v>
      </c>
      <c r="H94" s="36">
        <f t="shared" ref="H94" si="31">L$12</f>
        <v>0</v>
      </c>
      <c r="I94" s="36">
        <f t="shared" ref="I94" si="32">M$12</f>
        <v>0</v>
      </c>
      <c r="J94" s="36">
        <f t="shared" ref="J94" si="33">N$12</f>
        <v>0</v>
      </c>
      <c r="K94" s="37">
        <f t="shared" ref="K94" si="34">O$12</f>
        <v>0</v>
      </c>
    </row>
    <row r="95" spans="1:11" ht="15" thickTop="1" x14ac:dyDescent="0.3">
      <c r="A95" s="31">
        <f>F$15</f>
        <v>0</v>
      </c>
      <c r="B95" s="34">
        <v>50000</v>
      </c>
      <c r="C95" s="34">
        <v>50000</v>
      </c>
      <c r="D95" s="34"/>
      <c r="E95" s="34"/>
      <c r="F95" s="34"/>
      <c r="G95" s="34"/>
      <c r="H95" s="34"/>
      <c r="I95" s="34"/>
      <c r="J95" s="34"/>
      <c r="K95" s="38"/>
    </row>
    <row r="96" spans="1:11" x14ac:dyDescent="0.3">
      <c r="A96" s="31">
        <f>G$15</f>
        <v>2.5000000000000001E-2</v>
      </c>
      <c r="B96" s="34">
        <v>50000</v>
      </c>
      <c r="C96" s="34">
        <v>50000</v>
      </c>
      <c r="D96" s="33"/>
      <c r="E96" s="33"/>
      <c r="F96" s="33"/>
      <c r="G96" s="33"/>
      <c r="H96" s="33"/>
      <c r="I96" s="33"/>
      <c r="J96" s="33"/>
      <c r="K96" s="39"/>
    </row>
    <row r="97" spans="1:12" x14ac:dyDescent="0.3">
      <c r="A97" s="31">
        <f>H$15</f>
        <v>0.05</v>
      </c>
      <c r="B97" s="34">
        <v>50000</v>
      </c>
      <c r="C97" s="34">
        <v>50000</v>
      </c>
      <c r="D97" s="33"/>
      <c r="E97" s="33"/>
      <c r="F97" s="33"/>
      <c r="G97" s="33"/>
      <c r="H97" s="33"/>
      <c r="I97" s="33"/>
      <c r="J97" s="33"/>
      <c r="K97" s="39"/>
    </row>
    <row r="98" spans="1:12" x14ac:dyDescent="0.3">
      <c r="A98" s="31">
        <f>I$15</f>
        <v>0.1</v>
      </c>
      <c r="B98" s="34">
        <v>50000</v>
      </c>
      <c r="C98" s="34">
        <v>50000</v>
      </c>
      <c r="D98" s="33"/>
      <c r="E98" s="33"/>
      <c r="F98" s="33"/>
      <c r="G98" s="33"/>
      <c r="H98" s="33"/>
      <c r="I98" s="33"/>
      <c r="J98" s="33"/>
      <c r="K98" s="39"/>
    </row>
    <row r="99" spans="1:12" x14ac:dyDescent="0.3">
      <c r="A99" s="31">
        <f>J$15</f>
        <v>0.15</v>
      </c>
      <c r="B99" s="34">
        <v>50000</v>
      </c>
      <c r="C99" s="34">
        <v>50000</v>
      </c>
      <c r="D99" s="33"/>
      <c r="E99" s="33"/>
      <c r="F99" s="33"/>
      <c r="G99" s="33"/>
      <c r="H99" s="33"/>
      <c r="I99" s="33"/>
      <c r="J99" s="33"/>
      <c r="K99" s="39"/>
    </row>
    <row r="100" spans="1:12" x14ac:dyDescent="0.3">
      <c r="A100" s="31">
        <f>K$15</f>
        <v>0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9"/>
    </row>
    <row r="101" spans="1:12" x14ac:dyDescent="0.3">
      <c r="A101" s="31">
        <f>L$15</f>
        <v>0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9"/>
    </row>
    <row r="102" spans="1:12" x14ac:dyDescent="0.3">
      <c r="A102" s="31">
        <f>M$15</f>
        <v>0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9"/>
    </row>
    <row r="103" spans="1:12" x14ac:dyDescent="0.3">
      <c r="A103" s="31">
        <f>N$15</f>
        <v>0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9"/>
    </row>
    <row r="104" spans="1:12" ht="15" thickBot="1" x14ac:dyDescent="0.35">
      <c r="A104" s="32">
        <f>O$15</f>
        <v>0</v>
      </c>
      <c r="B104" s="40"/>
      <c r="C104" s="40"/>
      <c r="D104" s="40"/>
      <c r="E104" s="40"/>
      <c r="F104" s="40"/>
      <c r="G104" s="40"/>
      <c r="H104" s="40"/>
      <c r="I104" s="40"/>
      <c r="J104" s="40"/>
      <c r="K104" s="41"/>
    </row>
    <row r="111" spans="1:12" ht="15" thickBot="1" x14ac:dyDescent="0.35"/>
    <row r="112" spans="1:12" x14ac:dyDescent="0.3">
      <c r="A112" s="79" t="s">
        <v>142</v>
      </c>
      <c r="B112" s="80"/>
      <c r="C112" s="80"/>
      <c r="D112" s="80"/>
      <c r="E112" s="80"/>
      <c r="F112" s="80"/>
      <c r="G112" s="80"/>
      <c r="H112" s="80"/>
      <c r="I112" s="80"/>
      <c r="J112" s="80"/>
      <c r="K112" s="81"/>
      <c r="L112" s="2"/>
    </row>
    <row r="113" spans="1:12" x14ac:dyDescent="0.3">
      <c r="A113" s="85" t="s">
        <v>141</v>
      </c>
      <c r="B113" s="82" t="s">
        <v>8</v>
      </c>
      <c r="C113" s="83"/>
      <c r="D113" s="83"/>
      <c r="E113" s="83"/>
      <c r="F113" s="83"/>
      <c r="G113" s="83"/>
      <c r="H113" s="83"/>
      <c r="I113" s="83"/>
      <c r="J113" s="83"/>
      <c r="K113" s="84"/>
      <c r="L113" s="1"/>
    </row>
    <row r="114" spans="1:12" ht="15" thickBot="1" x14ac:dyDescent="0.35">
      <c r="A114" s="86"/>
      <c r="B114" s="35">
        <f t="shared" ref="B114" si="35">F$12</f>
        <v>25</v>
      </c>
      <c r="C114" s="36">
        <f t="shared" ref="C114" si="36">G$12</f>
        <v>125</v>
      </c>
      <c r="D114" s="36">
        <f t="shared" ref="D114" si="37">H$12</f>
        <v>0</v>
      </c>
      <c r="E114" s="36">
        <f t="shared" ref="E114" si="38">I$12</f>
        <v>0</v>
      </c>
      <c r="F114" s="36">
        <f t="shared" ref="F114" si="39">J$12</f>
        <v>0</v>
      </c>
      <c r="G114" s="36">
        <f t="shared" ref="G114" si="40">K$12</f>
        <v>0</v>
      </c>
      <c r="H114" s="36">
        <f t="shared" ref="H114" si="41">L$12</f>
        <v>0</v>
      </c>
      <c r="I114" s="36">
        <f t="shared" ref="I114" si="42">M$12</f>
        <v>0</v>
      </c>
      <c r="J114" s="36">
        <f t="shared" ref="J114" si="43">N$12</f>
        <v>0</v>
      </c>
      <c r="K114" s="37">
        <f t="shared" ref="K114" si="44">O$12</f>
        <v>0</v>
      </c>
      <c r="L114" s="1"/>
    </row>
    <row r="115" spans="1:12" ht="15" thickTop="1" x14ac:dyDescent="0.3">
      <c r="A115" s="31">
        <f>F$14</f>
        <v>0</v>
      </c>
      <c r="B115" s="34">
        <v>50000</v>
      </c>
      <c r="C115" s="34">
        <v>50000</v>
      </c>
      <c r="D115" s="34"/>
      <c r="E115" s="34"/>
      <c r="F115" s="34"/>
      <c r="G115" s="34"/>
      <c r="H115" s="34"/>
      <c r="I115" s="34"/>
      <c r="J115" s="34"/>
      <c r="K115" s="38"/>
      <c r="L115" s="1"/>
    </row>
    <row r="116" spans="1:12" x14ac:dyDescent="0.3">
      <c r="A116" s="31">
        <f>G$14</f>
        <v>200</v>
      </c>
      <c r="B116" s="34">
        <v>50000</v>
      </c>
      <c r="C116" s="34">
        <v>50000</v>
      </c>
      <c r="D116" s="33"/>
      <c r="E116" s="33"/>
      <c r="F116" s="33"/>
      <c r="G116" s="33"/>
      <c r="H116" s="33"/>
      <c r="I116" s="33"/>
      <c r="J116" s="33"/>
      <c r="K116" s="39"/>
      <c r="L116" s="1"/>
    </row>
    <row r="117" spans="1:12" x14ac:dyDescent="0.3">
      <c r="A117" s="31">
        <f>H$14</f>
        <v>400</v>
      </c>
      <c r="B117" s="34">
        <v>50000</v>
      </c>
      <c r="C117" s="34">
        <v>50000</v>
      </c>
      <c r="D117" s="33"/>
      <c r="E117" s="33"/>
      <c r="F117" s="33"/>
      <c r="G117" s="33"/>
      <c r="H117" s="33"/>
      <c r="I117" s="33"/>
      <c r="J117" s="33"/>
      <c r="K117" s="39"/>
      <c r="L117" s="1"/>
    </row>
    <row r="118" spans="1:12" x14ac:dyDescent="0.3">
      <c r="A118" s="31">
        <f>I$14</f>
        <v>600</v>
      </c>
      <c r="B118" s="34">
        <v>50000</v>
      </c>
      <c r="C118" s="34">
        <v>50000</v>
      </c>
      <c r="D118" s="33"/>
      <c r="E118" s="33"/>
      <c r="F118" s="33"/>
      <c r="G118" s="33"/>
      <c r="H118" s="33"/>
      <c r="I118" s="33"/>
      <c r="J118" s="33"/>
      <c r="K118" s="39"/>
      <c r="L118" s="1"/>
    </row>
    <row r="119" spans="1:12" x14ac:dyDescent="0.3">
      <c r="A119" s="31">
        <f>J$14</f>
        <v>800</v>
      </c>
      <c r="B119" s="34">
        <v>50000</v>
      </c>
      <c r="C119" s="34">
        <v>50000</v>
      </c>
      <c r="D119" s="33"/>
      <c r="E119" s="33"/>
      <c r="F119" s="33"/>
      <c r="G119" s="33"/>
      <c r="H119" s="33"/>
      <c r="I119" s="33"/>
      <c r="J119" s="33"/>
      <c r="K119" s="39"/>
      <c r="L119" s="1"/>
    </row>
    <row r="120" spans="1:12" x14ac:dyDescent="0.3">
      <c r="A120" s="31">
        <f>K$14</f>
        <v>1000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9"/>
      <c r="L120" s="1"/>
    </row>
    <row r="121" spans="1:12" x14ac:dyDescent="0.3">
      <c r="A121" s="31">
        <f>L$14</f>
        <v>0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9"/>
      <c r="L121" s="1"/>
    </row>
    <row r="122" spans="1:12" x14ac:dyDescent="0.3">
      <c r="A122" s="31">
        <f>M$14</f>
        <v>0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9"/>
      <c r="L122" s="1"/>
    </row>
    <row r="123" spans="1:12" x14ac:dyDescent="0.3">
      <c r="A123" s="31">
        <f>N$14</f>
        <v>0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9"/>
      <c r="L123" s="1"/>
    </row>
    <row r="124" spans="1:12" ht="15" thickBot="1" x14ac:dyDescent="0.35">
      <c r="A124" s="32">
        <f>O$14</f>
        <v>0</v>
      </c>
      <c r="B124" s="40"/>
      <c r="C124" s="40"/>
      <c r="D124" s="40"/>
      <c r="E124" s="40"/>
      <c r="F124" s="40"/>
      <c r="G124" s="40"/>
      <c r="H124" s="40"/>
      <c r="I124" s="40"/>
      <c r="J124" s="40"/>
      <c r="K124" s="41"/>
      <c r="L124" s="1"/>
    </row>
    <row r="131" spans="1:11" ht="15" thickBot="1" x14ac:dyDescent="0.35"/>
    <row r="132" spans="1:11" x14ac:dyDescent="0.3">
      <c r="A132" s="79" t="s">
        <v>143</v>
      </c>
      <c r="B132" s="80"/>
      <c r="C132" s="80"/>
      <c r="D132" s="80"/>
      <c r="E132" s="80"/>
      <c r="F132" s="80"/>
      <c r="G132" s="80"/>
      <c r="H132" s="80"/>
      <c r="I132" s="80"/>
      <c r="J132" s="80"/>
      <c r="K132" s="81"/>
    </row>
    <row r="133" spans="1:11" x14ac:dyDescent="0.3">
      <c r="A133" s="85" t="s">
        <v>131</v>
      </c>
      <c r="B133" s="82" t="s">
        <v>8</v>
      </c>
      <c r="C133" s="83"/>
      <c r="D133" s="83"/>
      <c r="E133" s="83"/>
      <c r="F133" s="83"/>
      <c r="G133" s="83"/>
      <c r="H133" s="83"/>
      <c r="I133" s="83"/>
      <c r="J133" s="83"/>
      <c r="K133" s="84"/>
    </row>
    <row r="134" spans="1:11" ht="15" thickBot="1" x14ac:dyDescent="0.35">
      <c r="A134" s="86"/>
      <c r="B134" s="35">
        <f t="shared" ref="B134" si="45">F$12</f>
        <v>25</v>
      </c>
      <c r="C134" s="36">
        <f t="shared" ref="C134" si="46">G$12</f>
        <v>125</v>
      </c>
      <c r="D134" s="36">
        <f t="shared" ref="D134" si="47">H$12</f>
        <v>0</v>
      </c>
      <c r="E134" s="36">
        <f t="shared" ref="E134" si="48">I$12</f>
        <v>0</v>
      </c>
      <c r="F134" s="36">
        <f t="shared" ref="F134" si="49">J$12</f>
        <v>0</v>
      </c>
      <c r="G134" s="36">
        <f t="shared" ref="G134" si="50">K$12</f>
        <v>0</v>
      </c>
      <c r="H134" s="36">
        <f t="shared" ref="H134" si="51">L$12</f>
        <v>0</v>
      </c>
      <c r="I134" s="36">
        <f t="shared" ref="I134" si="52">M$12</f>
        <v>0</v>
      </c>
      <c r="J134" s="36">
        <f t="shared" ref="J134" si="53">N$12</f>
        <v>0</v>
      </c>
      <c r="K134" s="37">
        <f t="shared" ref="K134" si="54">O$12</f>
        <v>0</v>
      </c>
    </row>
    <row r="135" spans="1:11" ht="15" thickTop="1" x14ac:dyDescent="0.3">
      <c r="A135" s="31">
        <f>F$13</f>
        <v>0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8"/>
    </row>
    <row r="136" spans="1:11" x14ac:dyDescent="0.3">
      <c r="A136" s="31">
        <f>G$13</f>
        <v>1000</v>
      </c>
      <c r="B136" s="33"/>
      <c r="C136" s="33"/>
      <c r="D136" s="33"/>
      <c r="E136" s="33"/>
      <c r="F136" s="33"/>
      <c r="G136" s="33"/>
      <c r="H136" s="33"/>
      <c r="I136" s="33"/>
      <c r="J136" s="33"/>
      <c r="K136" s="39"/>
    </row>
    <row r="137" spans="1:11" x14ac:dyDescent="0.3">
      <c r="A137" s="31">
        <f>H$13</f>
        <v>10000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9"/>
    </row>
    <row r="138" spans="1:11" x14ac:dyDescent="0.3">
      <c r="A138" s="31">
        <f>I$13</f>
        <v>100000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9"/>
    </row>
    <row r="139" spans="1:11" x14ac:dyDescent="0.3">
      <c r="A139" s="31">
        <f>J$13</f>
        <v>500000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9"/>
    </row>
    <row r="140" spans="1:11" x14ac:dyDescent="0.3">
      <c r="A140" s="31">
        <f>K$13</f>
        <v>0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9"/>
    </row>
    <row r="141" spans="1:11" x14ac:dyDescent="0.3">
      <c r="A141" s="31">
        <f>L$13</f>
        <v>0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9"/>
    </row>
    <row r="142" spans="1:11" x14ac:dyDescent="0.3">
      <c r="A142" s="31">
        <f>M$13</f>
        <v>0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9"/>
    </row>
    <row r="143" spans="1:11" x14ac:dyDescent="0.3">
      <c r="A143" s="31">
        <f>N$13</f>
        <v>0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9"/>
    </row>
    <row r="144" spans="1:11" ht="15" thickBot="1" x14ac:dyDescent="0.35">
      <c r="A144" s="32">
        <f>O$13</f>
        <v>0</v>
      </c>
      <c r="B144" s="40"/>
      <c r="C144" s="40"/>
      <c r="D144" s="40"/>
      <c r="E144" s="40"/>
      <c r="F144" s="40"/>
      <c r="G144" s="40"/>
      <c r="H144" s="40"/>
      <c r="I144" s="40"/>
      <c r="J144" s="40"/>
      <c r="K144" s="41"/>
    </row>
    <row r="151" spans="1:11" ht="15" thickBot="1" x14ac:dyDescent="0.35"/>
    <row r="152" spans="1:11" x14ac:dyDescent="0.3">
      <c r="A152" s="79" t="s">
        <v>144</v>
      </c>
      <c r="B152" s="80"/>
      <c r="C152" s="80"/>
      <c r="D152" s="80"/>
      <c r="E152" s="80"/>
      <c r="F152" s="80"/>
      <c r="G152" s="80"/>
      <c r="H152" s="80"/>
      <c r="I152" s="80"/>
      <c r="J152" s="80"/>
      <c r="K152" s="81"/>
    </row>
    <row r="153" spans="1:11" x14ac:dyDescent="0.3">
      <c r="A153" s="85" t="s">
        <v>131</v>
      </c>
      <c r="B153" s="82" t="s">
        <v>8</v>
      </c>
      <c r="C153" s="83"/>
      <c r="D153" s="83"/>
      <c r="E153" s="83"/>
      <c r="F153" s="83"/>
      <c r="G153" s="83"/>
      <c r="H153" s="83"/>
      <c r="I153" s="83"/>
      <c r="J153" s="83"/>
      <c r="K153" s="84"/>
    </row>
    <row r="154" spans="1:11" ht="15" thickBot="1" x14ac:dyDescent="0.35">
      <c r="A154" s="86"/>
      <c r="B154" s="35">
        <f t="shared" ref="B154" si="55">F$12</f>
        <v>25</v>
      </c>
      <c r="C154" s="36">
        <f t="shared" ref="C154" si="56">G$12</f>
        <v>125</v>
      </c>
      <c r="D154" s="36">
        <f t="shared" ref="D154" si="57">H$12</f>
        <v>0</v>
      </c>
      <c r="E154" s="36">
        <f t="shared" ref="E154" si="58">I$12</f>
        <v>0</v>
      </c>
      <c r="F154" s="36">
        <f t="shared" ref="F154" si="59">J$12</f>
        <v>0</v>
      </c>
      <c r="G154" s="36">
        <f t="shared" ref="G154" si="60">K$12</f>
        <v>0</v>
      </c>
      <c r="H154" s="36">
        <f t="shared" ref="H154" si="61">L$12</f>
        <v>0</v>
      </c>
      <c r="I154" s="36">
        <f t="shared" ref="I154" si="62">M$12</f>
        <v>0</v>
      </c>
      <c r="J154" s="36">
        <f t="shared" ref="J154" si="63">N$12</f>
        <v>0</v>
      </c>
      <c r="K154" s="37">
        <f t="shared" ref="K154" si="64">O$12</f>
        <v>0</v>
      </c>
    </row>
    <row r="155" spans="1:11" ht="15" thickTop="1" x14ac:dyDescent="0.3">
      <c r="A155" s="31">
        <f>F$13</f>
        <v>0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8"/>
    </row>
    <row r="156" spans="1:11" x14ac:dyDescent="0.3">
      <c r="A156" s="31">
        <f>G$13</f>
        <v>1000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9"/>
    </row>
    <row r="157" spans="1:11" x14ac:dyDescent="0.3">
      <c r="A157" s="31">
        <f>H$13</f>
        <v>10000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9"/>
    </row>
    <row r="158" spans="1:11" x14ac:dyDescent="0.3">
      <c r="A158" s="31">
        <f>I$13</f>
        <v>100000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9"/>
    </row>
    <row r="159" spans="1:11" x14ac:dyDescent="0.3">
      <c r="A159" s="31">
        <f>J$13</f>
        <v>500000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9"/>
    </row>
    <row r="160" spans="1:11" x14ac:dyDescent="0.3">
      <c r="A160" s="31">
        <f>K$13</f>
        <v>0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9"/>
    </row>
    <row r="161" spans="1:11" x14ac:dyDescent="0.3">
      <c r="A161" s="31">
        <f>L$13</f>
        <v>0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9"/>
    </row>
    <row r="162" spans="1:11" x14ac:dyDescent="0.3">
      <c r="A162" s="31">
        <f>M$13</f>
        <v>0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9"/>
    </row>
    <row r="163" spans="1:11" x14ac:dyDescent="0.3">
      <c r="A163" s="31">
        <f>N$13</f>
        <v>0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9"/>
    </row>
    <row r="164" spans="1:11" ht="15" thickBot="1" x14ac:dyDescent="0.35">
      <c r="A164" s="32">
        <f>O$13</f>
        <v>0</v>
      </c>
      <c r="B164" s="40"/>
      <c r="C164" s="40"/>
      <c r="D164" s="40"/>
      <c r="E164" s="40"/>
      <c r="F164" s="40"/>
      <c r="G164" s="40"/>
      <c r="H164" s="40"/>
      <c r="I164" s="40"/>
      <c r="J164" s="40"/>
      <c r="K164" s="41"/>
    </row>
    <row r="171" spans="1:11" ht="15" thickBot="1" x14ac:dyDescent="0.35"/>
    <row r="172" spans="1:11" x14ac:dyDescent="0.3">
      <c r="A172" s="79" t="s">
        <v>145</v>
      </c>
      <c r="B172" s="80"/>
      <c r="C172" s="80"/>
      <c r="D172" s="80"/>
      <c r="E172" s="80"/>
      <c r="F172" s="80"/>
      <c r="G172" s="80"/>
      <c r="H172" s="80"/>
      <c r="I172" s="80"/>
      <c r="J172" s="80"/>
      <c r="K172" s="81"/>
    </row>
    <row r="173" spans="1:11" x14ac:dyDescent="0.3">
      <c r="A173" s="85" t="s">
        <v>131</v>
      </c>
      <c r="B173" s="82" t="s">
        <v>8</v>
      </c>
      <c r="C173" s="83"/>
      <c r="D173" s="83"/>
      <c r="E173" s="83"/>
      <c r="F173" s="83"/>
      <c r="G173" s="83"/>
      <c r="H173" s="83"/>
      <c r="I173" s="83"/>
      <c r="J173" s="83"/>
      <c r="K173" s="84"/>
    </row>
    <row r="174" spans="1:11" ht="15" thickBot="1" x14ac:dyDescent="0.35">
      <c r="A174" s="86"/>
      <c r="B174" s="35">
        <f t="shared" ref="B174" si="65">F$12</f>
        <v>25</v>
      </c>
      <c r="C174" s="36">
        <f t="shared" ref="C174" si="66">G$12</f>
        <v>125</v>
      </c>
      <c r="D174" s="36">
        <f t="shared" ref="D174" si="67">H$12</f>
        <v>0</v>
      </c>
      <c r="E174" s="36">
        <f t="shared" ref="E174" si="68">I$12</f>
        <v>0</v>
      </c>
      <c r="F174" s="36">
        <f t="shared" ref="F174" si="69">J$12</f>
        <v>0</v>
      </c>
      <c r="G174" s="36">
        <f t="shared" ref="G174" si="70">K$12</f>
        <v>0</v>
      </c>
      <c r="H174" s="36">
        <f t="shared" ref="H174" si="71">L$12</f>
        <v>0</v>
      </c>
      <c r="I174" s="36">
        <f t="shared" ref="I174" si="72">M$12</f>
        <v>0</v>
      </c>
      <c r="J174" s="36">
        <f t="shared" ref="J174" si="73">N$12</f>
        <v>0</v>
      </c>
      <c r="K174" s="37">
        <f t="shared" ref="K174" si="74">O$12</f>
        <v>0</v>
      </c>
    </row>
    <row r="175" spans="1:11" ht="15" thickTop="1" x14ac:dyDescent="0.3">
      <c r="A175" s="31">
        <f>F$13</f>
        <v>0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8"/>
    </row>
    <row r="176" spans="1:11" x14ac:dyDescent="0.3">
      <c r="A176" s="31">
        <f>G$13</f>
        <v>1000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9"/>
    </row>
    <row r="177" spans="1:11" x14ac:dyDescent="0.3">
      <c r="A177" s="31">
        <f>H$13</f>
        <v>10000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9"/>
    </row>
    <row r="178" spans="1:11" x14ac:dyDescent="0.3">
      <c r="A178" s="31">
        <f>I$13</f>
        <v>100000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9"/>
    </row>
    <row r="179" spans="1:11" x14ac:dyDescent="0.3">
      <c r="A179" s="31">
        <f>J$13</f>
        <v>500000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9"/>
    </row>
    <row r="180" spans="1:11" x14ac:dyDescent="0.3">
      <c r="A180" s="31">
        <f>K$13</f>
        <v>0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9"/>
    </row>
    <row r="181" spans="1:11" x14ac:dyDescent="0.3">
      <c r="A181" s="31">
        <f>L$13</f>
        <v>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9"/>
    </row>
    <row r="182" spans="1:11" x14ac:dyDescent="0.3">
      <c r="A182" s="31">
        <f>M$13</f>
        <v>0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9"/>
    </row>
    <row r="183" spans="1:11" x14ac:dyDescent="0.3">
      <c r="A183" s="31">
        <f>N$13</f>
        <v>0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9"/>
    </row>
    <row r="184" spans="1:11" ht="15" thickBot="1" x14ac:dyDescent="0.35">
      <c r="A184" s="32">
        <f>O$13</f>
        <v>0</v>
      </c>
      <c r="B184" s="40"/>
      <c r="C184" s="40"/>
      <c r="D184" s="40"/>
      <c r="E184" s="40"/>
      <c r="F184" s="40"/>
      <c r="G184" s="40"/>
      <c r="H184" s="40"/>
      <c r="I184" s="40"/>
      <c r="J184" s="40"/>
      <c r="K184" s="41"/>
    </row>
  </sheetData>
  <mergeCells count="24">
    <mergeCell ref="B73:K73"/>
    <mergeCell ref="A92:K92"/>
    <mergeCell ref="B93:K93"/>
    <mergeCell ref="A112:K112"/>
    <mergeCell ref="B113:K113"/>
    <mergeCell ref="A73:A74"/>
    <mergeCell ref="A93:A94"/>
    <mergeCell ref="A113:A114"/>
    <mergeCell ref="A32:K32"/>
    <mergeCell ref="B33:K33"/>
    <mergeCell ref="A52:K52"/>
    <mergeCell ref="B53:K53"/>
    <mergeCell ref="A72:K72"/>
    <mergeCell ref="A33:A34"/>
    <mergeCell ref="A53:A54"/>
    <mergeCell ref="A152:K152"/>
    <mergeCell ref="B153:K153"/>
    <mergeCell ref="A172:K172"/>
    <mergeCell ref="B173:K173"/>
    <mergeCell ref="A132:K132"/>
    <mergeCell ref="B133:K133"/>
    <mergeCell ref="A133:A134"/>
    <mergeCell ref="A153:A154"/>
    <mergeCell ref="A173:A17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5AF-6534-4D65-85BA-4292797F34F0}">
  <dimension ref="A1:P202"/>
  <sheetViews>
    <sheetView workbookViewId="0">
      <selection activeCell="B30" sqref="B30"/>
    </sheetView>
  </sheetViews>
  <sheetFormatPr defaultRowHeight="14.4" x14ac:dyDescent="0.3"/>
  <cols>
    <col min="1" max="1" width="26" bestFit="1" customWidth="1"/>
    <col min="2" max="2" width="78.88671875" bestFit="1" customWidth="1"/>
  </cols>
  <sheetData>
    <row r="1" spans="1:16" ht="15" thickBot="1" x14ac:dyDescent="0.35">
      <c r="A1" s="52" t="s">
        <v>0</v>
      </c>
      <c r="B1" s="21" t="s">
        <v>55</v>
      </c>
      <c r="C1" s="21" t="s">
        <v>6</v>
      </c>
      <c r="D1" s="21" t="s">
        <v>1</v>
      </c>
      <c r="E1" s="52" t="s">
        <v>20</v>
      </c>
      <c r="F1" s="22" t="s">
        <v>9</v>
      </c>
      <c r="G1" s="23" t="s">
        <v>10</v>
      </c>
      <c r="H1" s="23" t="s">
        <v>11</v>
      </c>
      <c r="I1" s="23" t="s">
        <v>12</v>
      </c>
      <c r="J1" s="23" t="s">
        <v>13</v>
      </c>
      <c r="K1" s="23" t="s">
        <v>14</v>
      </c>
      <c r="L1" s="23" t="s">
        <v>15</v>
      </c>
      <c r="M1" s="23" t="s">
        <v>16</v>
      </c>
      <c r="N1" s="23" t="s">
        <v>17</v>
      </c>
      <c r="O1" s="64" t="s">
        <v>18</v>
      </c>
      <c r="P1" s="24" t="s">
        <v>2</v>
      </c>
    </row>
    <row r="2" spans="1:16" ht="15" thickTop="1" x14ac:dyDescent="0.3">
      <c r="A2" s="69" t="s">
        <v>146</v>
      </c>
      <c r="B2" s="58" t="s">
        <v>152</v>
      </c>
      <c r="C2" s="45" t="s">
        <v>23</v>
      </c>
      <c r="D2" s="59" t="s">
        <v>162</v>
      </c>
      <c r="E2" s="65">
        <v>5</v>
      </c>
      <c r="F2" s="55">
        <v>5</v>
      </c>
      <c r="G2" s="34"/>
      <c r="H2" s="34"/>
      <c r="I2" s="34"/>
      <c r="J2" s="34"/>
      <c r="K2" s="34"/>
      <c r="L2" s="47"/>
      <c r="M2" s="47"/>
      <c r="N2" s="47"/>
      <c r="O2" s="63"/>
      <c r="P2" s="27" t="s">
        <v>21</v>
      </c>
    </row>
    <row r="3" spans="1:16" x14ac:dyDescent="0.3">
      <c r="A3" s="69" t="s">
        <v>147</v>
      </c>
      <c r="B3" s="58" t="s">
        <v>153</v>
      </c>
      <c r="C3" s="45" t="s">
        <v>23</v>
      </c>
      <c r="D3" s="45" t="s">
        <v>163</v>
      </c>
      <c r="E3" s="66">
        <v>10</v>
      </c>
      <c r="F3" s="56">
        <v>10</v>
      </c>
      <c r="G3" s="33"/>
      <c r="H3" s="33"/>
      <c r="I3" s="33"/>
      <c r="J3" s="33"/>
      <c r="K3" s="33"/>
      <c r="L3" s="42"/>
      <c r="M3" s="42"/>
      <c r="N3" s="42"/>
      <c r="O3" s="61"/>
      <c r="P3" s="27" t="s">
        <v>22</v>
      </c>
    </row>
    <row r="4" spans="1:16" x14ac:dyDescent="0.3">
      <c r="A4" s="69" t="s">
        <v>148</v>
      </c>
      <c r="B4" s="58" t="s">
        <v>154</v>
      </c>
      <c r="C4" s="45" t="s">
        <v>23</v>
      </c>
      <c r="D4" s="45" t="s">
        <v>160</v>
      </c>
      <c r="E4" s="66">
        <v>2</v>
      </c>
      <c r="F4" s="56">
        <v>2</v>
      </c>
      <c r="G4" s="33"/>
      <c r="H4" s="33"/>
      <c r="I4" s="33"/>
      <c r="J4" s="33"/>
      <c r="K4" s="60"/>
      <c r="L4" s="60"/>
      <c r="M4" s="60"/>
      <c r="N4" s="60"/>
      <c r="O4" s="62"/>
      <c r="P4" s="27" t="s">
        <v>21</v>
      </c>
    </row>
    <row r="5" spans="1:16" x14ac:dyDescent="0.3">
      <c r="A5" s="69" t="s">
        <v>149</v>
      </c>
      <c r="B5" s="58" t="s">
        <v>155</v>
      </c>
      <c r="C5" s="45" t="s">
        <v>23</v>
      </c>
      <c r="D5" s="45" t="s">
        <v>161</v>
      </c>
      <c r="E5" s="66">
        <v>10</v>
      </c>
      <c r="F5" s="56">
        <v>10</v>
      </c>
      <c r="G5" s="33"/>
      <c r="H5" s="33"/>
      <c r="I5" s="33"/>
      <c r="J5" s="33"/>
      <c r="K5" s="60"/>
      <c r="L5" s="60"/>
      <c r="M5" s="60"/>
      <c r="N5" s="60"/>
      <c r="O5" s="62"/>
      <c r="P5" s="27" t="s">
        <v>22</v>
      </c>
    </row>
    <row r="6" spans="1:16" x14ac:dyDescent="0.3">
      <c r="A6" s="69" t="s">
        <v>150</v>
      </c>
      <c r="B6" s="58" t="s">
        <v>158</v>
      </c>
      <c r="C6" s="45" t="s">
        <v>23</v>
      </c>
      <c r="D6" s="45" t="s">
        <v>164</v>
      </c>
      <c r="E6" s="66">
        <v>4</v>
      </c>
      <c r="F6" s="56">
        <v>4</v>
      </c>
      <c r="G6" s="33"/>
      <c r="H6" s="33"/>
      <c r="I6" s="33"/>
      <c r="J6" s="33"/>
      <c r="K6" s="60"/>
      <c r="L6" s="60"/>
      <c r="M6" s="60"/>
      <c r="N6" s="60"/>
      <c r="O6" s="62"/>
      <c r="P6" s="27" t="s">
        <v>21</v>
      </c>
    </row>
    <row r="7" spans="1:16" x14ac:dyDescent="0.3">
      <c r="A7" s="69" t="s">
        <v>151</v>
      </c>
      <c r="B7" s="58" t="s">
        <v>159</v>
      </c>
      <c r="C7" s="45" t="s">
        <v>23</v>
      </c>
      <c r="D7" s="45" t="s">
        <v>165</v>
      </c>
      <c r="E7" s="66">
        <v>50</v>
      </c>
      <c r="F7" s="56">
        <v>50</v>
      </c>
      <c r="G7" s="33"/>
      <c r="H7" s="33"/>
      <c r="I7" s="33"/>
      <c r="J7" s="33"/>
      <c r="K7" s="60"/>
      <c r="L7" s="60"/>
      <c r="M7" s="60"/>
      <c r="N7" s="60"/>
      <c r="O7" s="62"/>
      <c r="P7" s="27" t="s">
        <v>22</v>
      </c>
    </row>
    <row r="8" spans="1:16" x14ac:dyDescent="0.3">
      <c r="A8" s="69" t="s">
        <v>25</v>
      </c>
      <c r="B8" s="58" t="s">
        <v>156</v>
      </c>
      <c r="C8" s="45" t="s">
        <v>23</v>
      </c>
      <c r="D8" s="45" t="s">
        <v>27</v>
      </c>
      <c r="E8" s="66">
        <v>1</v>
      </c>
      <c r="F8" s="56">
        <v>1</v>
      </c>
      <c r="G8" s="33"/>
      <c r="H8" s="42"/>
      <c r="I8" s="42"/>
      <c r="J8" s="42"/>
      <c r="K8" s="42"/>
      <c r="L8" s="42"/>
      <c r="M8" s="42"/>
      <c r="N8" s="42"/>
      <c r="O8" s="61"/>
      <c r="P8" s="27" t="s">
        <v>21</v>
      </c>
    </row>
    <row r="9" spans="1:16" x14ac:dyDescent="0.3">
      <c r="A9" s="69" t="s">
        <v>26</v>
      </c>
      <c r="B9" s="58" t="s">
        <v>157</v>
      </c>
      <c r="C9" s="45" t="s">
        <v>23</v>
      </c>
      <c r="D9" s="45" t="s">
        <v>28</v>
      </c>
      <c r="E9" s="66">
        <v>100</v>
      </c>
      <c r="F9" s="56">
        <v>100</v>
      </c>
      <c r="G9" s="33"/>
      <c r="H9" s="33"/>
      <c r="I9" s="33"/>
      <c r="J9" s="42"/>
      <c r="K9" s="42"/>
      <c r="L9" s="42"/>
      <c r="M9" s="42"/>
      <c r="N9" s="42"/>
      <c r="O9" s="61"/>
      <c r="P9" s="27" t="s">
        <v>22</v>
      </c>
    </row>
    <row r="10" spans="1:16" x14ac:dyDescent="0.3">
      <c r="A10" s="70"/>
      <c r="B10" s="58"/>
      <c r="C10" s="45"/>
      <c r="D10" s="45"/>
      <c r="E10" s="66"/>
      <c r="F10" s="56"/>
      <c r="G10" s="42"/>
      <c r="H10" s="42"/>
      <c r="I10" s="42"/>
      <c r="J10" s="42"/>
      <c r="K10" s="42"/>
      <c r="L10" s="42"/>
      <c r="M10" s="42"/>
      <c r="N10" s="42"/>
      <c r="O10" s="61"/>
      <c r="P10" s="27"/>
    </row>
    <row r="11" spans="1:16" x14ac:dyDescent="0.3">
      <c r="A11" s="70"/>
      <c r="B11" s="58"/>
      <c r="C11" s="45"/>
      <c r="D11" s="45"/>
      <c r="E11" s="66"/>
      <c r="F11" s="56"/>
      <c r="G11" s="42"/>
      <c r="H11" s="42"/>
      <c r="I11" s="42"/>
      <c r="J11" s="42"/>
      <c r="K11" s="42"/>
      <c r="L11" s="42"/>
      <c r="M11" s="42"/>
      <c r="N11" s="42"/>
      <c r="O11" s="61"/>
      <c r="P11" s="27"/>
    </row>
    <row r="12" spans="1:16" x14ac:dyDescent="0.3">
      <c r="A12" s="70"/>
      <c r="B12" s="58"/>
      <c r="C12" s="45"/>
      <c r="D12" s="45"/>
      <c r="E12" s="66"/>
      <c r="F12" s="56"/>
      <c r="G12" s="33"/>
      <c r="H12" s="33"/>
      <c r="I12" s="33"/>
      <c r="J12" s="33"/>
      <c r="K12" s="33"/>
      <c r="L12" s="33"/>
      <c r="M12" s="42"/>
      <c r="N12" s="42"/>
      <c r="O12" s="61"/>
      <c r="P12" s="27"/>
    </row>
    <row r="13" spans="1:16" x14ac:dyDescent="0.3">
      <c r="A13" s="70"/>
      <c r="B13" s="58"/>
      <c r="C13" s="45"/>
      <c r="D13" s="45"/>
      <c r="E13" s="66"/>
      <c r="F13" s="56"/>
      <c r="G13" s="42"/>
      <c r="H13" s="42"/>
      <c r="I13" s="42"/>
      <c r="J13" s="42"/>
      <c r="K13" s="42"/>
      <c r="L13" s="42"/>
      <c r="M13" s="42"/>
      <c r="N13" s="42"/>
      <c r="O13" s="61"/>
      <c r="P13" s="27"/>
    </row>
    <row r="14" spans="1:16" x14ac:dyDescent="0.3">
      <c r="A14" s="70"/>
      <c r="B14" s="58"/>
      <c r="C14" s="45"/>
      <c r="D14" s="45"/>
      <c r="E14" s="66"/>
      <c r="F14" s="56"/>
      <c r="G14" s="33"/>
      <c r="H14" s="33"/>
      <c r="I14" s="33"/>
      <c r="J14" s="33"/>
      <c r="K14" s="33"/>
      <c r="L14" s="33"/>
      <c r="M14" s="33"/>
      <c r="N14" s="33"/>
      <c r="O14" s="39"/>
      <c r="P14" s="27"/>
    </row>
    <row r="15" spans="1:16" x14ac:dyDescent="0.3">
      <c r="A15" s="70"/>
      <c r="B15" s="58"/>
      <c r="C15" s="45"/>
      <c r="D15" s="45"/>
      <c r="E15" s="66"/>
      <c r="F15" s="56"/>
      <c r="G15" s="33"/>
      <c r="H15" s="33"/>
      <c r="I15" s="33"/>
      <c r="J15" s="33"/>
      <c r="K15" s="33"/>
      <c r="L15" s="33"/>
      <c r="M15" s="33"/>
      <c r="N15" s="33"/>
      <c r="O15" s="39"/>
      <c r="P15" s="27"/>
    </row>
    <row r="16" spans="1:16" x14ac:dyDescent="0.3">
      <c r="A16" s="70"/>
      <c r="B16" s="58"/>
      <c r="C16" s="45"/>
      <c r="D16" s="45"/>
      <c r="E16" s="66"/>
      <c r="F16" s="56"/>
      <c r="G16" s="33"/>
      <c r="H16" s="33"/>
      <c r="I16" s="33"/>
      <c r="J16" s="33"/>
      <c r="K16" s="33"/>
      <c r="L16" s="33"/>
      <c r="M16" s="33"/>
      <c r="N16" s="33"/>
      <c r="O16" s="39"/>
      <c r="P16" s="27"/>
    </row>
    <row r="17" spans="1:16" x14ac:dyDescent="0.3">
      <c r="A17" s="70"/>
      <c r="B17" s="58"/>
      <c r="C17" s="45"/>
      <c r="D17" s="45"/>
      <c r="E17" s="66"/>
      <c r="F17" s="56"/>
      <c r="G17" s="33"/>
      <c r="H17" s="33"/>
      <c r="I17" s="33"/>
      <c r="J17" s="33"/>
      <c r="K17" s="33"/>
      <c r="L17" s="33"/>
      <c r="M17" s="33"/>
      <c r="N17" s="33"/>
      <c r="O17" s="39"/>
      <c r="P17" s="27"/>
    </row>
    <row r="18" spans="1:16" x14ac:dyDescent="0.3">
      <c r="A18" s="70"/>
      <c r="B18" s="58"/>
      <c r="C18" s="45"/>
      <c r="D18" s="45"/>
      <c r="E18" s="66"/>
      <c r="F18" s="56"/>
      <c r="G18" s="33"/>
      <c r="H18" s="33"/>
      <c r="I18" s="33"/>
      <c r="J18" s="33"/>
      <c r="K18" s="33"/>
      <c r="L18" s="33"/>
      <c r="M18" s="33"/>
      <c r="N18" s="33"/>
      <c r="O18" s="39"/>
      <c r="P18" s="27"/>
    </row>
    <row r="19" spans="1:16" x14ac:dyDescent="0.3">
      <c r="A19" s="70"/>
      <c r="B19" s="58"/>
      <c r="C19" s="45"/>
      <c r="D19" s="45"/>
      <c r="E19" s="66"/>
      <c r="F19" s="56"/>
      <c r="G19" s="33"/>
      <c r="H19" s="33"/>
      <c r="I19" s="33"/>
      <c r="J19" s="33"/>
      <c r="K19" s="33"/>
      <c r="L19" s="33"/>
      <c r="M19" s="33"/>
      <c r="N19" s="33"/>
      <c r="O19" s="39"/>
      <c r="P19" s="27"/>
    </row>
    <row r="20" spans="1:16" x14ac:dyDescent="0.3">
      <c r="A20" s="70"/>
      <c r="B20" s="58"/>
      <c r="C20" s="45"/>
      <c r="D20" s="45"/>
      <c r="E20" s="66"/>
      <c r="F20" s="56"/>
      <c r="G20" s="33"/>
      <c r="H20" s="33"/>
      <c r="I20" s="33"/>
      <c r="J20" s="33"/>
      <c r="K20" s="33"/>
      <c r="L20" s="33"/>
      <c r="M20" s="33"/>
      <c r="N20" s="33"/>
      <c r="O20" s="39"/>
      <c r="P20" s="27"/>
    </row>
    <row r="21" spans="1:16" x14ac:dyDescent="0.3">
      <c r="A21" s="70"/>
      <c r="B21" s="58"/>
      <c r="C21" s="45"/>
      <c r="D21" s="45"/>
      <c r="E21" s="66"/>
      <c r="F21" s="56"/>
      <c r="G21" s="33"/>
      <c r="H21" s="33"/>
      <c r="I21" s="33"/>
      <c r="J21" s="33"/>
      <c r="K21" s="33"/>
      <c r="L21" s="33"/>
      <c r="M21" s="33"/>
      <c r="N21" s="33"/>
      <c r="O21" s="39"/>
      <c r="P21" s="27"/>
    </row>
    <row r="22" spans="1:16" x14ac:dyDescent="0.3">
      <c r="A22" s="70"/>
      <c r="B22" s="58"/>
      <c r="C22" s="45"/>
      <c r="D22" s="45"/>
      <c r="E22" s="66"/>
      <c r="F22" s="56"/>
      <c r="G22" s="33"/>
      <c r="H22" s="33"/>
      <c r="I22" s="33"/>
      <c r="J22" s="33"/>
      <c r="K22" s="33"/>
      <c r="L22" s="33"/>
      <c r="M22" s="33"/>
      <c r="N22" s="33"/>
      <c r="O22" s="39"/>
      <c r="P22" s="27"/>
    </row>
    <row r="23" spans="1:16" x14ac:dyDescent="0.3">
      <c r="A23" s="70"/>
      <c r="B23" s="58"/>
      <c r="C23" s="45"/>
      <c r="D23" s="45"/>
      <c r="E23" s="66"/>
      <c r="F23" s="56"/>
      <c r="G23" s="33"/>
      <c r="H23" s="33"/>
      <c r="I23" s="33"/>
      <c r="J23" s="33"/>
      <c r="K23" s="33"/>
      <c r="L23" s="33"/>
      <c r="M23" s="33"/>
      <c r="N23" s="33"/>
      <c r="O23" s="39"/>
      <c r="P23" s="27"/>
    </row>
    <row r="24" spans="1:16" ht="15" thickBot="1" x14ac:dyDescent="0.35">
      <c r="A24" s="71"/>
      <c r="B24" s="26"/>
      <c r="C24" s="25"/>
      <c r="D24" s="25"/>
      <c r="E24" s="67"/>
      <c r="F24" s="57"/>
      <c r="G24" s="40"/>
      <c r="H24" s="40"/>
      <c r="I24" s="40"/>
      <c r="J24" s="40"/>
      <c r="K24" s="40"/>
      <c r="L24" s="40"/>
      <c r="M24" s="40"/>
      <c r="N24" s="40"/>
      <c r="O24" s="41"/>
      <c r="P24" s="28"/>
    </row>
    <row r="99" spans="4:16" x14ac:dyDescent="0.3">
      <c r="D99" t="s">
        <v>31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 t="s">
        <v>37</v>
      </c>
      <c r="K99" t="s">
        <v>38</v>
      </c>
      <c r="L99" t="s">
        <v>39</v>
      </c>
      <c r="M99" t="s">
        <v>40</v>
      </c>
      <c r="N99" t="s">
        <v>41</v>
      </c>
      <c r="O99" t="s">
        <v>42</v>
      </c>
      <c r="P99" t="s">
        <v>166</v>
      </c>
    </row>
    <row r="100" spans="4:16" x14ac:dyDescent="0.3">
      <c r="D100" s="7">
        <v>1E-3</v>
      </c>
      <c r="E100" s="7">
        <f>IFERROR(E$2*(1-EXP(-$D100/(E$2*E$3))),"")</f>
        <v>9.9999000006678607E-5</v>
      </c>
      <c r="F100" s="7">
        <f t="shared" ref="F100:O100" si="0">IFERROR(F$2*(1-EXP(-$D100/(F$2*F$3))),"")</f>
        <v>9.9999000006678607E-5</v>
      </c>
      <c r="G100" s="7" t="str">
        <f t="shared" si="0"/>
        <v/>
      </c>
      <c r="H100" s="7" t="str">
        <f t="shared" si="0"/>
        <v/>
      </c>
      <c r="I100" s="7" t="str">
        <f t="shared" si="0"/>
        <v/>
      </c>
      <c r="J100" s="7" t="str">
        <f t="shared" si="0"/>
        <v/>
      </c>
      <c r="K100" s="7" t="str">
        <f t="shared" si="0"/>
        <v/>
      </c>
      <c r="L100" s="7" t="str">
        <f t="shared" si="0"/>
        <v/>
      </c>
      <c r="M100" s="7" t="str">
        <f t="shared" si="0"/>
        <v/>
      </c>
      <c r="N100" s="7" t="str">
        <f t="shared" si="0"/>
        <v/>
      </c>
      <c r="O100" s="7" t="str">
        <f t="shared" si="0"/>
        <v/>
      </c>
      <c r="P100" s="7">
        <f>SUM(F100:O100)</f>
        <v>9.9999000006678607E-5</v>
      </c>
    </row>
    <row r="101" spans="4:16" x14ac:dyDescent="0.3">
      <c r="D101" s="7">
        <v>2E-3</v>
      </c>
      <c r="E101" s="7">
        <f t="shared" ref="E101:O121" si="1">IFERROR(E$2*(1-EXP(-$D101/(E$2*E$3))),"")</f>
        <v>1.9999600005315976E-4</v>
      </c>
      <c r="F101" s="7">
        <f t="shared" si="1"/>
        <v>1.9999600005315976E-4</v>
      </c>
      <c r="G101" s="7" t="str">
        <f t="shared" si="1"/>
        <v/>
      </c>
      <c r="H101" s="7" t="str">
        <f t="shared" si="1"/>
        <v/>
      </c>
      <c r="I101" s="7" t="str">
        <f t="shared" si="1"/>
        <v/>
      </c>
      <c r="J101" s="7" t="str">
        <f t="shared" si="1"/>
        <v/>
      </c>
      <c r="K101" s="7" t="str">
        <f t="shared" si="1"/>
        <v/>
      </c>
      <c r="L101" s="7" t="str">
        <f t="shared" si="1"/>
        <v/>
      </c>
      <c r="M101" s="7" t="str">
        <f t="shared" si="1"/>
        <v/>
      </c>
      <c r="N101" s="7" t="str">
        <f t="shared" si="1"/>
        <v/>
      </c>
      <c r="O101" s="7" t="str">
        <f t="shared" si="1"/>
        <v/>
      </c>
      <c r="P101" s="7">
        <f t="shared" ref="P101:P121" si="2">SUM(F101:O101)</f>
        <v>1.9999600005315976E-4</v>
      </c>
    </row>
    <row r="102" spans="4:16" x14ac:dyDescent="0.3">
      <c r="D102" s="7">
        <v>5.0000000000000001E-3</v>
      </c>
      <c r="E102" s="7">
        <f t="shared" si="1"/>
        <v>4.9997500083331925E-4</v>
      </c>
      <c r="F102" s="7">
        <f t="shared" si="1"/>
        <v>4.9997500083331925E-4</v>
      </c>
      <c r="G102" s="7" t="str">
        <f t="shared" si="1"/>
        <v/>
      </c>
      <c r="H102" s="7" t="str">
        <f t="shared" si="1"/>
        <v/>
      </c>
      <c r="I102" s="7" t="str">
        <f t="shared" si="1"/>
        <v/>
      </c>
      <c r="J102" s="7" t="str">
        <f t="shared" si="1"/>
        <v/>
      </c>
      <c r="K102" s="7" t="str">
        <f t="shared" si="1"/>
        <v/>
      </c>
      <c r="L102" s="7" t="str">
        <f t="shared" si="1"/>
        <v/>
      </c>
      <c r="M102" s="7" t="str">
        <f t="shared" si="1"/>
        <v/>
      </c>
      <c r="N102" s="7" t="str">
        <f t="shared" si="1"/>
        <v/>
      </c>
      <c r="O102" s="7" t="str">
        <f t="shared" si="1"/>
        <v/>
      </c>
      <c r="P102" s="7">
        <f t="shared" si="2"/>
        <v>4.9997500083331925E-4</v>
      </c>
    </row>
    <row r="103" spans="4:16" x14ac:dyDescent="0.3">
      <c r="D103" s="7">
        <v>0.01</v>
      </c>
      <c r="E103" s="7">
        <f t="shared" si="1"/>
        <v>9.9990000666627665E-4</v>
      </c>
      <c r="F103" s="7">
        <f t="shared" si="1"/>
        <v>9.9990000666627665E-4</v>
      </c>
      <c r="G103" s="7" t="str">
        <f t="shared" si="1"/>
        <v/>
      </c>
      <c r="H103" s="7" t="str">
        <f t="shared" si="1"/>
        <v/>
      </c>
      <c r="I103" s="7" t="str">
        <f t="shared" si="1"/>
        <v/>
      </c>
      <c r="J103" s="7" t="str">
        <f t="shared" si="1"/>
        <v/>
      </c>
      <c r="K103" s="7" t="str">
        <f t="shared" si="1"/>
        <v/>
      </c>
      <c r="L103" s="7" t="str">
        <f t="shared" si="1"/>
        <v/>
      </c>
      <c r="M103" s="7" t="str">
        <f t="shared" si="1"/>
        <v/>
      </c>
      <c r="N103" s="7" t="str">
        <f t="shared" si="1"/>
        <v/>
      </c>
      <c r="O103" s="7" t="str">
        <f t="shared" si="1"/>
        <v/>
      </c>
      <c r="P103" s="7">
        <f t="shared" si="2"/>
        <v>9.9990000666627665E-4</v>
      </c>
    </row>
    <row r="104" spans="4:16" x14ac:dyDescent="0.3">
      <c r="D104" s="7">
        <v>0.02</v>
      </c>
      <c r="E104" s="7">
        <f t="shared" si="1"/>
        <v>1.9996000533278879E-3</v>
      </c>
      <c r="F104" s="7">
        <f t="shared" si="1"/>
        <v>1.9996000533278879E-3</v>
      </c>
      <c r="G104" s="7" t="str">
        <f t="shared" si="1"/>
        <v/>
      </c>
      <c r="H104" s="7" t="str">
        <f t="shared" si="1"/>
        <v/>
      </c>
      <c r="I104" s="7" t="str">
        <f t="shared" si="1"/>
        <v/>
      </c>
      <c r="J104" s="7" t="str">
        <f t="shared" si="1"/>
        <v/>
      </c>
      <c r="K104" s="7" t="str">
        <f t="shared" si="1"/>
        <v/>
      </c>
      <c r="L104" s="7" t="str">
        <f t="shared" si="1"/>
        <v/>
      </c>
      <c r="M104" s="7" t="str">
        <f t="shared" si="1"/>
        <v/>
      </c>
      <c r="N104" s="7" t="str">
        <f t="shared" si="1"/>
        <v/>
      </c>
      <c r="O104" s="7" t="str">
        <f t="shared" si="1"/>
        <v/>
      </c>
      <c r="P104" s="7">
        <f t="shared" si="2"/>
        <v>1.9996000533278879E-3</v>
      </c>
    </row>
    <row r="105" spans="4:16" x14ac:dyDescent="0.3">
      <c r="D105" s="7">
        <v>0.05</v>
      </c>
      <c r="E105" s="7">
        <f t="shared" si="1"/>
        <v>4.9975008331248905E-3</v>
      </c>
      <c r="F105" s="7">
        <f t="shared" si="1"/>
        <v>4.9975008331248905E-3</v>
      </c>
      <c r="G105" s="7" t="str">
        <f t="shared" si="1"/>
        <v/>
      </c>
      <c r="H105" s="7" t="str">
        <f t="shared" si="1"/>
        <v/>
      </c>
      <c r="I105" s="7" t="str">
        <f t="shared" si="1"/>
        <v/>
      </c>
      <c r="J105" s="7" t="str">
        <f t="shared" si="1"/>
        <v/>
      </c>
      <c r="K105" s="7" t="str">
        <f t="shared" si="1"/>
        <v/>
      </c>
      <c r="L105" s="7" t="str">
        <f t="shared" si="1"/>
        <v/>
      </c>
      <c r="M105" s="7" t="str">
        <f t="shared" si="1"/>
        <v/>
      </c>
      <c r="N105" s="7" t="str">
        <f t="shared" si="1"/>
        <v/>
      </c>
      <c r="O105" s="7" t="str">
        <f t="shared" si="1"/>
        <v/>
      </c>
      <c r="P105" s="7">
        <f t="shared" si="2"/>
        <v>4.9975008331248905E-3</v>
      </c>
    </row>
    <row r="106" spans="4:16" x14ac:dyDescent="0.3">
      <c r="D106" s="7">
        <v>0.1</v>
      </c>
      <c r="E106" s="7">
        <f t="shared" si="1"/>
        <v>9.9900066633346052E-3</v>
      </c>
      <c r="F106" s="7">
        <f t="shared" si="1"/>
        <v>9.9900066633346052E-3</v>
      </c>
      <c r="G106" s="7" t="str">
        <f t="shared" si="1"/>
        <v/>
      </c>
      <c r="H106" s="7" t="str">
        <f t="shared" si="1"/>
        <v/>
      </c>
      <c r="I106" s="7" t="str">
        <f t="shared" si="1"/>
        <v/>
      </c>
      <c r="J106" s="7" t="str">
        <f t="shared" si="1"/>
        <v/>
      </c>
      <c r="K106" s="7" t="str">
        <f t="shared" si="1"/>
        <v/>
      </c>
      <c r="L106" s="7" t="str">
        <f t="shared" si="1"/>
        <v/>
      </c>
      <c r="M106" s="7" t="str">
        <f t="shared" si="1"/>
        <v/>
      </c>
      <c r="N106" s="7" t="str">
        <f t="shared" si="1"/>
        <v/>
      </c>
      <c r="O106" s="7" t="str">
        <f t="shared" si="1"/>
        <v/>
      </c>
      <c r="P106" s="7">
        <f t="shared" si="2"/>
        <v>9.9900066633346052E-3</v>
      </c>
    </row>
    <row r="107" spans="4:16" x14ac:dyDescent="0.3">
      <c r="D107" s="7">
        <v>0.2</v>
      </c>
      <c r="E107" s="7">
        <f t="shared" si="1"/>
        <v>1.9960053280042578E-2</v>
      </c>
      <c r="F107" s="7">
        <f t="shared" si="1"/>
        <v>1.9960053280042578E-2</v>
      </c>
      <c r="G107" s="7" t="str">
        <f t="shared" si="1"/>
        <v/>
      </c>
      <c r="H107" s="7" t="str">
        <f t="shared" si="1"/>
        <v/>
      </c>
      <c r="I107" s="7" t="str">
        <f t="shared" si="1"/>
        <v/>
      </c>
      <c r="J107" s="7" t="str">
        <f t="shared" si="1"/>
        <v/>
      </c>
      <c r="K107" s="7" t="str">
        <f t="shared" si="1"/>
        <v/>
      </c>
      <c r="L107" s="7" t="str">
        <f t="shared" si="1"/>
        <v/>
      </c>
      <c r="M107" s="7" t="str">
        <f t="shared" si="1"/>
        <v/>
      </c>
      <c r="N107" s="7" t="str">
        <f t="shared" si="1"/>
        <v/>
      </c>
      <c r="O107" s="7" t="str">
        <f t="shared" si="1"/>
        <v/>
      </c>
      <c r="P107" s="7">
        <f t="shared" si="2"/>
        <v>1.9960053280042578E-2</v>
      </c>
    </row>
    <row r="108" spans="4:16" x14ac:dyDescent="0.3">
      <c r="D108" s="7">
        <v>0.5</v>
      </c>
      <c r="E108" s="7">
        <f t="shared" si="1"/>
        <v>4.9750831254159467E-2</v>
      </c>
      <c r="F108" s="7">
        <f t="shared" si="1"/>
        <v>4.9750831254159467E-2</v>
      </c>
      <c r="G108" s="7" t="str">
        <f t="shared" si="1"/>
        <v/>
      </c>
      <c r="H108" s="7" t="str">
        <f t="shared" si="1"/>
        <v/>
      </c>
      <c r="I108" s="7" t="str">
        <f t="shared" si="1"/>
        <v/>
      </c>
      <c r="J108" s="7" t="str">
        <f t="shared" si="1"/>
        <v/>
      </c>
      <c r="K108" s="7" t="str">
        <f t="shared" si="1"/>
        <v/>
      </c>
      <c r="L108" s="7" t="str">
        <f t="shared" si="1"/>
        <v/>
      </c>
      <c r="M108" s="7" t="str">
        <f t="shared" si="1"/>
        <v/>
      </c>
      <c r="N108" s="7" t="str">
        <f t="shared" si="1"/>
        <v/>
      </c>
      <c r="O108" s="7" t="str">
        <f t="shared" si="1"/>
        <v/>
      </c>
      <c r="P108" s="7">
        <f t="shared" si="2"/>
        <v>4.9750831254159467E-2</v>
      </c>
    </row>
    <row r="109" spans="4:16" x14ac:dyDescent="0.3">
      <c r="D109" s="7">
        <v>1</v>
      </c>
      <c r="E109" s="7">
        <f t="shared" si="1"/>
        <v>9.9006633466223737E-2</v>
      </c>
      <c r="F109" s="7">
        <f t="shared" si="1"/>
        <v>9.9006633466223737E-2</v>
      </c>
      <c r="G109" s="7" t="str">
        <f t="shared" si="1"/>
        <v/>
      </c>
      <c r="H109" s="7" t="str">
        <f t="shared" si="1"/>
        <v/>
      </c>
      <c r="I109" s="7" t="str">
        <f t="shared" si="1"/>
        <v/>
      </c>
      <c r="J109" s="7" t="str">
        <f t="shared" si="1"/>
        <v/>
      </c>
      <c r="K109" s="7" t="str">
        <f t="shared" si="1"/>
        <v/>
      </c>
      <c r="L109" s="7" t="str">
        <f t="shared" si="1"/>
        <v/>
      </c>
      <c r="M109" s="7" t="str">
        <f t="shared" si="1"/>
        <v/>
      </c>
      <c r="N109" s="7" t="str">
        <f t="shared" si="1"/>
        <v/>
      </c>
      <c r="O109" s="7" t="str">
        <f t="shared" si="1"/>
        <v/>
      </c>
      <c r="P109" s="7">
        <f t="shared" si="2"/>
        <v>9.9006633466223737E-2</v>
      </c>
    </row>
    <row r="110" spans="4:16" x14ac:dyDescent="0.3">
      <c r="D110" s="7">
        <v>2</v>
      </c>
      <c r="E110" s="7">
        <f t="shared" si="1"/>
        <v>0.19605280423838412</v>
      </c>
      <c r="F110" s="7">
        <f t="shared" si="1"/>
        <v>0.19605280423838412</v>
      </c>
      <c r="G110" s="7" t="str">
        <f t="shared" si="1"/>
        <v/>
      </c>
      <c r="H110" s="7" t="str">
        <f t="shared" si="1"/>
        <v/>
      </c>
      <c r="I110" s="7" t="str">
        <f t="shared" si="1"/>
        <v/>
      </c>
      <c r="J110" s="7" t="str">
        <f t="shared" si="1"/>
        <v/>
      </c>
      <c r="K110" s="7" t="str">
        <f t="shared" si="1"/>
        <v/>
      </c>
      <c r="L110" s="7" t="str">
        <f t="shared" si="1"/>
        <v/>
      </c>
      <c r="M110" s="7" t="str">
        <f t="shared" si="1"/>
        <v/>
      </c>
      <c r="N110" s="7" t="str">
        <f t="shared" si="1"/>
        <v/>
      </c>
      <c r="O110" s="7" t="str">
        <f t="shared" si="1"/>
        <v/>
      </c>
      <c r="P110" s="7">
        <f t="shared" si="2"/>
        <v>0.19605280423838412</v>
      </c>
    </row>
    <row r="111" spans="4:16" x14ac:dyDescent="0.3">
      <c r="D111" s="7">
        <v>5</v>
      </c>
      <c r="E111" s="7">
        <f t="shared" si="1"/>
        <v>0.47581290982020241</v>
      </c>
      <c r="F111" s="7">
        <f t="shared" si="1"/>
        <v>0.47581290982020241</v>
      </c>
      <c r="G111" s="7" t="str">
        <f t="shared" si="1"/>
        <v/>
      </c>
      <c r="H111" s="7" t="str">
        <f t="shared" si="1"/>
        <v/>
      </c>
      <c r="I111" s="7" t="str">
        <f t="shared" si="1"/>
        <v/>
      </c>
      <c r="J111" s="7" t="str">
        <f t="shared" si="1"/>
        <v/>
      </c>
      <c r="K111" s="7" t="str">
        <f t="shared" si="1"/>
        <v/>
      </c>
      <c r="L111" s="7" t="str">
        <f t="shared" si="1"/>
        <v/>
      </c>
      <c r="M111" s="7" t="str">
        <f t="shared" si="1"/>
        <v/>
      </c>
      <c r="N111" s="7" t="str">
        <f t="shared" si="1"/>
        <v/>
      </c>
      <c r="O111" s="7" t="str">
        <f t="shared" si="1"/>
        <v/>
      </c>
      <c r="P111" s="7">
        <f t="shared" si="2"/>
        <v>0.47581290982020241</v>
      </c>
    </row>
    <row r="112" spans="4:16" x14ac:dyDescent="0.3">
      <c r="D112" s="7">
        <v>10</v>
      </c>
      <c r="E112" s="7">
        <f t="shared" si="1"/>
        <v>0.9063462346100909</v>
      </c>
      <c r="F112" s="7">
        <f t="shared" si="1"/>
        <v>0.9063462346100909</v>
      </c>
      <c r="G112" s="7" t="str">
        <f t="shared" si="1"/>
        <v/>
      </c>
      <c r="H112" s="7" t="str">
        <f t="shared" si="1"/>
        <v/>
      </c>
      <c r="I112" s="7" t="str">
        <f t="shared" si="1"/>
        <v/>
      </c>
      <c r="J112" s="7" t="str">
        <f t="shared" si="1"/>
        <v/>
      </c>
      <c r="K112" s="7" t="str">
        <f t="shared" si="1"/>
        <v/>
      </c>
      <c r="L112" s="7" t="str">
        <f t="shared" si="1"/>
        <v/>
      </c>
      <c r="M112" s="7" t="str">
        <f t="shared" si="1"/>
        <v/>
      </c>
      <c r="N112" s="7" t="str">
        <f t="shared" si="1"/>
        <v/>
      </c>
      <c r="O112" s="7" t="str">
        <f t="shared" si="1"/>
        <v/>
      </c>
      <c r="P112" s="7">
        <f t="shared" si="2"/>
        <v>0.9063462346100909</v>
      </c>
    </row>
    <row r="113" spans="4:16" x14ac:dyDescent="0.3">
      <c r="D113" s="7">
        <v>20</v>
      </c>
      <c r="E113" s="7">
        <f t="shared" si="1"/>
        <v>1.6483997698218034</v>
      </c>
      <c r="F113" s="7">
        <f t="shared" si="1"/>
        <v>1.6483997698218034</v>
      </c>
      <c r="G113" s="7" t="str">
        <f t="shared" si="1"/>
        <v/>
      </c>
      <c r="H113" s="7" t="str">
        <f t="shared" si="1"/>
        <v/>
      </c>
      <c r="I113" s="7" t="str">
        <f t="shared" si="1"/>
        <v/>
      </c>
      <c r="J113" s="7" t="str">
        <f t="shared" si="1"/>
        <v/>
      </c>
      <c r="K113" s="7" t="str">
        <f t="shared" si="1"/>
        <v/>
      </c>
      <c r="L113" s="7" t="str">
        <f t="shared" si="1"/>
        <v/>
      </c>
      <c r="M113" s="7" t="str">
        <f t="shared" si="1"/>
        <v/>
      </c>
      <c r="N113" s="7" t="str">
        <f t="shared" si="1"/>
        <v/>
      </c>
      <c r="O113" s="7" t="str">
        <f t="shared" si="1"/>
        <v/>
      </c>
      <c r="P113" s="7">
        <f t="shared" si="2"/>
        <v>1.6483997698218034</v>
      </c>
    </row>
    <row r="114" spans="4:16" x14ac:dyDescent="0.3">
      <c r="D114" s="7">
        <v>50</v>
      </c>
      <c r="E114" s="7">
        <f t="shared" si="1"/>
        <v>3.1606027941427883</v>
      </c>
      <c r="F114" s="7">
        <f t="shared" si="1"/>
        <v>3.1606027941427883</v>
      </c>
      <c r="G114" s="7" t="str">
        <f t="shared" si="1"/>
        <v/>
      </c>
      <c r="H114" s="7" t="str">
        <f t="shared" si="1"/>
        <v/>
      </c>
      <c r="I114" s="7" t="str">
        <f t="shared" si="1"/>
        <v/>
      </c>
      <c r="J114" s="7" t="str">
        <f t="shared" si="1"/>
        <v/>
      </c>
      <c r="K114" s="7" t="str">
        <f t="shared" si="1"/>
        <v/>
      </c>
      <c r="L114" s="7" t="str">
        <f t="shared" si="1"/>
        <v/>
      </c>
      <c r="M114" s="7" t="str">
        <f t="shared" si="1"/>
        <v/>
      </c>
      <c r="N114" s="7" t="str">
        <f t="shared" si="1"/>
        <v/>
      </c>
      <c r="O114" s="7" t="str">
        <f t="shared" si="1"/>
        <v/>
      </c>
      <c r="P114" s="7">
        <f t="shared" si="2"/>
        <v>3.1606027941427883</v>
      </c>
    </row>
    <row r="115" spans="4:16" x14ac:dyDescent="0.3">
      <c r="D115" s="7">
        <v>100</v>
      </c>
      <c r="E115" s="7">
        <f t="shared" si="1"/>
        <v>4.3233235838169364</v>
      </c>
      <c r="F115" s="7">
        <f t="shared" si="1"/>
        <v>4.3233235838169364</v>
      </c>
      <c r="G115" s="7" t="str">
        <f t="shared" si="1"/>
        <v/>
      </c>
      <c r="H115" s="7" t="str">
        <f t="shared" si="1"/>
        <v/>
      </c>
      <c r="I115" s="7" t="str">
        <f t="shared" si="1"/>
        <v/>
      </c>
      <c r="J115" s="7" t="str">
        <f t="shared" si="1"/>
        <v/>
      </c>
      <c r="K115" s="7" t="str">
        <f t="shared" si="1"/>
        <v/>
      </c>
      <c r="L115" s="7" t="str">
        <f t="shared" si="1"/>
        <v/>
      </c>
      <c r="M115" s="7" t="str">
        <f t="shared" si="1"/>
        <v/>
      </c>
      <c r="N115" s="7" t="str">
        <f t="shared" si="1"/>
        <v/>
      </c>
      <c r="O115" s="7" t="str">
        <f t="shared" si="1"/>
        <v/>
      </c>
      <c r="P115" s="7">
        <f t="shared" si="2"/>
        <v>4.3233235838169364</v>
      </c>
    </row>
    <row r="116" spans="4:16" x14ac:dyDescent="0.3">
      <c r="D116" s="7">
        <v>200</v>
      </c>
      <c r="E116" s="7">
        <f t="shared" si="1"/>
        <v>4.9084218055563289</v>
      </c>
      <c r="F116" s="7">
        <f t="shared" si="1"/>
        <v>4.9084218055563289</v>
      </c>
      <c r="G116" s="7" t="str">
        <f t="shared" si="1"/>
        <v/>
      </c>
      <c r="H116" s="7" t="str">
        <f t="shared" si="1"/>
        <v/>
      </c>
      <c r="I116" s="7" t="str">
        <f t="shared" si="1"/>
        <v/>
      </c>
      <c r="J116" s="7" t="str">
        <f t="shared" si="1"/>
        <v/>
      </c>
      <c r="K116" s="7" t="str">
        <f t="shared" si="1"/>
        <v/>
      </c>
      <c r="L116" s="7" t="str">
        <f t="shared" si="1"/>
        <v/>
      </c>
      <c r="M116" s="7" t="str">
        <f t="shared" si="1"/>
        <v/>
      </c>
      <c r="N116" s="7" t="str">
        <f t="shared" si="1"/>
        <v/>
      </c>
      <c r="O116" s="7" t="str">
        <f t="shared" si="1"/>
        <v/>
      </c>
      <c r="P116" s="7">
        <f t="shared" si="2"/>
        <v>4.9084218055563289</v>
      </c>
    </row>
    <row r="117" spans="4:16" x14ac:dyDescent="0.3">
      <c r="D117" s="7">
        <v>500</v>
      </c>
      <c r="E117" s="7">
        <f t="shared" si="1"/>
        <v>4.9997730003511878</v>
      </c>
      <c r="F117" s="7">
        <f t="shared" si="1"/>
        <v>4.9997730003511878</v>
      </c>
      <c r="G117" s="7" t="str">
        <f t="shared" si="1"/>
        <v/>
      </c>
      <c r="H117" s="7" t="str">
        <f t="shared" si="1"/>
        <v/>
      </c>
      <c r="I117" s="7" t="str">
        <f t="shared" si="1"/>
        <v/>
      </c>
      <c r="J117" s="7" t="str">
        <f t="shared" si="1"/>
        <v/>
      </c>
      <c r="K117" s="7" t="str">
        <f t="shared" si="1"/>
        <v/>
      </c>
      <c r="L117" s="7" t="str">
        <f t="shared" si="1"/>
        <v/>
      </c>
      <c r="M117" s="7" t="str">
        <f t="shared" si="1"/>
        <v/>
      </c>
      <c r="N117" s="7" t="str">
        <f t="shared" si="1"/>
        <v/>
      </c>
      <c r="O117" s="7" t="str">
        <f t="shared" si="1"/>
        <v/>
      </c>
      <c r="P117" s="7">
        <f t="shared" si="2"/>
        <v>4.9997730003511878</v>
      </c>
    </row>
    <row r="118" spans="4:16" x14ac:dyDescent="0.3">
      <c r="D118" s="7">
        <v>1000</v>
      </c>
      <c r="E118" s="7">
        <f t="shared" si="1"/>
        <v>4.9999999896942322</v>
      </c>
      <c r="F118" s="7">
        <f t="shared" si="1"/>
        <v>4.9999999896942322</v>
      </c>
      <c r="G118" s="7" t="str">
        <f t="shared" si="1"/>
        <v/>
      </c>
      <c r="H118" s="7" t="str">
        <f t="shared" si="1"/>
        <v/>
      </c>
      <c r="I118" s="7" t="str">
        <f t="shared" si="1"/>
        <v/>
      </c>
      <c r="J118" s="7" t="str">
        <f t="shared" si="1"/>
        <v/>
      </c>
      <c r="K118" s="7" t="str">
        <f t="shared" si="1"/>
        <v/>
      </c>
      <c r="L118" s="7" t="str">
        <f t="shared" si="1"/>
        <v/>
      </c>
      <c r="M118" s="7" t="str">
        <f t="shared" si="1"/>
        <v/>
      </c>
      <c r="N118" s="7" t="str">
        <f t="shared" si="1"/>
        <v/>
      </c>
      <c r="O118" s="7" t="str">
        <f t="shared" si="1"/>
        <v/>
      </c>
      <c r="P118" s="7">
        <f t="shared" si="2"/>
        <v>4.9999999896942322</v>
      </c>
    </row>
    <row r="119" spans="4:16" x14ac:dyDescent="0.3">
      <c r="D119" s="7">
        <v>2000</v>
      </c>
      <c r="E119" s="7">
        <f t="shared" si="1"/>
        <v>5</v>
      </c>
      <c r="F119" s="7">
        <f t="shared" si="1"/>
        <v>5</v>
      </c>
      <c r="G119" s="7" t="str">
        <f t="shared" si="1"/>
        <v/>
      </c>
      <c r="H119" s="7" t="str">
        <f t="shared" si="1"/>
        <v/>
      </c>
      <c r="I119" s="7" t="str">
        <f t="shared" si="1"/>
        <v/>
      </c>
      <c r="J119" s="7" t="str">
        <f t="shared" si="1"/>
        <v/>
      </c>
      <c r="K119" s="7" t="str">
        <f t="shared" si="1"/>
        <v/>
      </c>
      <c r="L119" s="7" t="str">
        <f t="shared" si="1"/>
        <v/>
      </c>
      <c r="M119" s="7" t="str">
        <f t="shared" si="1"/>
        <v/>
      </c>
      <c r="N119" s="7" t="str">
        <f t="shared" si="1"/>
        <v/>
      </c>
      <c r="O119" s="7" t="str">
        <f t="shared" si="1"/>
        <v/>
      </c>
      <c r="P119" s="7">
        <f t="shared" si="2"/>
        <v>5</v>
      </c>
    </row>
    <row r="120" spans="4:16" x14ac:dyDescent="0.3">
      <c r="D120" s="7">
        <v>5000</v>
      </c>
      <c r="E120" s="7">
        <f t="shared" si="1"/>
        <v>5</v>
      </c>
      <c r="F120" s="7">
        <f t="shared" si="1"/>
        <v>5</v>
      </c>
      <c r="G120" s="7" t="str">
        <f t="shared" si="1"/>
        <v/>
      </c>
      <c r="H120" s="7" t="str">
        <f t="shared" si="1"/>
        <v/>
      </c>
      <c r="I120" s="7" t="str">
        <f t="shared" si="1"/>
        <v/>
      </c>
      <c r="J120" s="7" t="str">
        <f t="shared" si="1"/>
        <v/>
      </c>
      <c r="K120" s="7" t="str">
        <f t="shared" si="1"/>
        <v/>
      </c>
      <c r="L120" s="7" t="str">
        <f t="shared" si="1"/>
        <v/>
      </c>
      <c r="M120" s="7" t="str">
        <f t="shared" si="1"/>
        <v/>
      </c>
      <c r="N120" s="7" t="str">
        <f t="shared" si="1"/>
        <v/>
      </c>
      <c r="O120" s="7" t="str">
        <f t="shared" si="1"/>
        <v/>
      </c>
      <c r="P120" s="7">
        <f t="shared" si="2"/>
        <v>5</v>
      </c>
    </row>
    <row r="121" spans="4:16" x14ac:dyDescent="0.3">
      <c r="D121" s="7">
        <v>10000</v>
      </c>
      <c r="E121" s="7">
        <f t="shared" si="1"/>
        <v>5</v>
      </c>
      <c r="F121" s="7">
        <f t="shared" si="1"/>
        <v>5</v>
      </c>
      <c r="G121" s="7" t="str">
        <f t="shared" si="1"/>
        <v/>
      </c>
      <c r="H121" s="7" t="str">
        <f t="shared" si="1"/>
        <v/>
      </c>
      <c r="I121" s="7" t="str">
        <f t="shared" si="1"/>
        <v/>
      </c>
      <c r="J121" s="7" t="str">
        <f t="shared" si="1"/>
        <v/>
      </c>
      <c r="K121" s="7" t="str">
        <f t="shared" si="1"/>
        <v/>
      </c>
      <c r="L121" s="7" t="str">
        <f t="shared" si="1"/>
        <v/>
      </c>
      <c r="M121" s="7" t="str">
        <f t="shared" si="1"/>
        <v/>
      </c>
      <c r="N121" s="7" t="str">
        <f t="shared" si="1"/>
        <v/>
      </c>
      <c r="O121" s="7" t="str">
        <f t="shared" si="1"/>
        <v/>
      </c>
      <c r="P121" s="7">
        <f t="shared" si="2"/>
        <v>5</v>
      </c>
    </row>
    <row r="126" spans="4:16" x14ac:dyDescent="0.3">
      <c r="D126" t="s">
        <v>31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 t="s">
        <v>37</v>
      </c>
      <c r="K126" t="s">
        <v>38</v>
      </c>
      <c r="L126" t="s">
        <v>39</v>
      </c>
      <c r="M126" t="s">
        <v>40</v>
      </c>
      <c r="N126" t="s">
        <v>41</v>
      </c>
      <c r="O126" t="s">
        <v>42</v>
      </c>
      <c r="P126" t="s">
        <v>167</v>
      </c>
    </row>
    <row r="127" spans="4:16" x14ac:dyDescent="0.3">
      <c r="D127" s="7">
        <v>1E-3</v>
      </c>
      <c r="E127" s="7">
        <f>IFERROR(E$4*(1-EXP(-$D127/(E$4*E$5))),"")</f>
        <v>9.9997500041748566E-5</v>
      </c>
      <c r="F127" s="7">
        <f t="shared" ref="F127:O142" si="3">IFERROR(F$4*(1-EXP(-$D127/(F$4*F$5))),"")</f>
        <v>9.9997500041748566E-5</v>
      </c>
      <c r="G127" s="7" t="str">
        <f t="shared" si="3"/>
        <v/>
      </c>
      <c r="H127" s="7" t="str">
        <f t="shared" si="3"/>
        <v/>
      </c>
      <c r="I127" s="7" t="str">
        <f t="shared" si="3"/>
        <v/>
      </c>
      <c r="J127" s="7" t="str">
        <f t="shared" si="3"/>
        <v/>
      </c>
      <c r="K127" s="7" t="str">
        <f t="shared" si="3"/>
        <v/>
      </c>
      <c r="L127" s="7" t="str">
        <f t="shared" si="3"/>
        <v/>
      </c>
      <c r="M127" s="7" t="str">
        <f t="shared" si="3"/>
        <v/>
      </c>
      <c r="N127" s="7" t="str">
        <f t="shared" si="3"/>
        <v/>
      </c>
      <c r="O127" s="7" t="str">
        <f t="shared" si="3"/>
        <v/>
      </c>
      <c r="P127" s="7">
        <f>SUM(F127:O127)</f>
        <v>9.9997500041748566E-5</v>
      </c>
    </row>
    <row r="128" spans="4:16" x14ac:dyDescent="0.3">
      <c r="D128" s="7">
        <v>2E-3</v>
      </c>
      <c r="E128" s="7">
        <f t="shared" ref="E128:O148" si="4">IFERROR(E$4*(1-EXP(-$D128/(E$4*E$5))),"")</f>
        <v>1.999900003333277E-4</v>
      </c>
      <c r="F128" s="7">
        <f t="shared" si="3"/>
        <v>1.999900003333277E-4</v>
      </c>
      <c r="G128" s="7" t="str">
        <f t="shared" si="3"/>
        <v/>
      </c>
      <c r="H128" s="7" t="str">
        <f t="shared" si="3"/>
        <v/>
      </c>
      <c r="I128" s="7" t="str">
        <f t="shared" si="3"/>
        <v/>
      </c>
      <c r="J128" s="7" t="str">
        <f t="shared" si="3"/>
        <v/>
      </c>
      <c r="K128" s="7" t="str">
        <f t="shared" si="3"/>
        <v/>
      </c>
      <c r="L128" s="7" t="str">
        <f t="shared" si="3"/>
        <v/>
      </c>
      <c r="M128" s="7" t="str">
        <f t="shared" si="3"/>
        <v/>
      </c>
      <c r="N128" s="7" t="str">
        <f t="shared" si="3"/>
        <v/>
      </c>
      <c r="O128" s="7" t="str">
        <f t="shared" si="3"/>
        <v/>
      </c>
      <c r="P128" s="7">
        <f t="shared" ref="P128:P147" si="5">SUM(F128:O128)</f>
        <v>1.999900003333277E-4</v>
      </c>
    </row>
    <row r="129" spans="4:16" x14ac:dyDescent="0.3">
      <c r="D129" s="7">
        <v>5.0000000000000001E-3</v>
      </c>
      <c r="E129" s="7">
        <f t="shared" si="4"/>
        <v>4.9993750520793689E-4</v>
      </c>
      <c r="F129" s="7">
        <f t="shared" si="3"/>
        <v>4.9993750520793689E-4</v>
      </c>
      <c r="G129" s="7" t="str">
        <f t="shared" si="3"/>
        <v/>
      </c>
      <c r="H129" s="7" t="str">
        <f t="shared" si="3"/>
        <v/>
      </c>
      <c r="I129" s="7" t="str">
        <f t="shared" si="3"/>
        <v/>
      </c>
      <c r="J129" s="7" t="str">
        <f t="shared" si="3"/>
        <v/>
      </c>
      <c r="K129" s="7" t="str">
        <f t="shared" si="3"/>
        <v/>
      </c>
      <c r="L129" s="7" t="str">
        <f t="shared" si="3"/>
        <v/>
      </c>
      <c r="M129" s="7" t="str">
        <f t="shared" si="3"/>
        <v/>
      </c>
      <c r="N129" s="7" t="str">
        <f t="shared" si="3"/>
        <v/>
      </c>
      <c r="O129" s="7" t="str">
        <f t="shared" si="3"/>
        <v/>
      </c>
      <c r="P129" s="7">
        <f t="shared" si="5"/>
        <v>4.9993750520793689E-4</v>
      </c>
    </row>
    <row r="130" spans="4:16" x14ac:dyDescent="0.3">
      <c r="D130" s="7">
        <v>0.01</v>
      </c>
      <c r="E130" s="7">
        <f t="shared" si="4"/>
        <v>9.9975004166141801E-4</v>
      </c>
      <c r="F130" s="7">
        <f t="shared" si="3"/>
        <v>9.9975004166141801E-4</v>
      </c>
      <c r="G130" s="7" t="str">
        <f t="shared" si="3"/>
        <v/>
      </c>
      <c r="H130" s="7" t="str">
        <f t="shared" si="3"/>
        <v/>
      </c>
      <c r="I130" s="7" t="str">
        <f t="shared" si="3"/>
        <v/>
      </c>
      <c r="J130" s="7" t="str">
        <f t="shared" si="3"/>
        <v/>
      </c>
      <c r="K130" s="7" t="str">
        <f t="shared" si="3"/>
        <v/>
      </c>
      <c r="L130" s="7" t="str">
        <f t="shared" si="3"/>
        <v/>
      </c>
      <c r="M130" s="7" t="str">
        <f t="shared" si="3"/>
        <v/>
      </c>
      <c r="N130" s="7" t="str">
        <f t="shared" si="3"/>
        <v/>
      </c>
      <c r="O130" s="7" t="str">
        <f t="shared" si="3"/>
        <v/>
      </c>
      <c r="P130" s="7">
        <f t="shared" si="5"/>
        <v>9.9975004166141801E-4</v>
      </c>
    </row>
    <row r="131" spans="4:16" x14ac:dyDescent="0.3">
      <c r="D131" s="7">
        <v>0.02</v>
      </c>
      <c r="E131" s="7">
        <f t="shared" si="4"/>
        <v>1.9990003332499562E-3</v>
      </c>
      <c r="F131" s="7">
        <f t="shared" si="3"/>
        <v>1.9990003332499562E-3</v>
      </c>
      <c r="G131" s="7" t="str">
        <f t="shared" si="3"/>
        <v/>
      </c>
      <c r="H131" s="7" t="str">
        <f t="shared" si="3"/>
        <v/>
      </c>
      <c r="I131" s="7" t="str">
        <f t="shared" si="3"/>
        <v/>
      </c>
      <c r="J131" s="7" t="str">
        <f t="shared" si="3"/>
        <v/>
      </c>
      <c r="K131" s="7" t="str">
        <f t="shared" si="3"/>
        <v/>
      </c>
      <c r="L131" s="7" t="str">
        <f t="shared" si="3"/>
        <v/>
      </c>
      <c r="M131" s="7" t="str">
        <f t="shared" si="3"/>
        <v/>
      </c>
      <c r="N131" s="7" t="str">
        <f t="shared" si="3"/>
        <v/>
      </c>
      <c r="O131" s="7" t="str">
        <f t="shared" si="3"/>
        <v/>
      </c>
      <c r="P131" s="7">
        <f t="shared" si="5"/>
        <v>1.9990003332499562E-3</v>
      </c>
    </row>
    <row r="132" spans="4:16" x14ac:dyDescent="0.3">
      <c r="D132" s="7">
        <v>0.05</v>
      </c>
      <c r="E132" s="7">
        <f t="shared" si="4"/>
        <v>4.9937552050798306E-3</v>
      </c>
      <c r="F132" s="7">
        <f t="shared" si="3"/>
        <v>4.9937552050798306E-3</v>
      </c>
      <c r="G132" s="7" t="str">
        <f t="shared" si="3"/>
        <v/>
      </c>
      <c r="H132" s="7" t="str">
        <f t="shared" si="3"/>
        <v/>
      </c>
      <c r="I132" s="7" t="str">
        <f t="shared" si="3"/>
        <v/>
      </c>
      <c r="J132" s="7" t="str">
        <f t="shared" si="3"/>
        <v/>
      </c>
      <c r="K132" s="7" t="str">
        <f t="shared" si="3"/>
        <v/>
      </c>
      <c r="L132" s="7" t="str">
        <f t="shared" si="3"/>
        <v/>
      </c>
      <c r="M132" s="7" t="str">
        <f t="shared" si="3"/>
        <v/>
      </c>
      <c r="N132" s="7" t="str">
        <f t="shared" si="3"/>
        <v/>
      </c>
      <c r="O132" s="7" t="str">
        <f t="shared" si="3"/>
        <v/>
      </c>
      <c r="P132" s="7">
        <f t="shared" si="5"/>
        <v>4.9937552050798306E-3</v>
      </c>
    </row>
    <row r="133" spans="4:16" x14ac:dyDescent="0.3">
      <c r="D133" s="7">
        <v>0.1</v>
      </c>
      <c r="E133" s="7">
        <f t="shared" si="4"/>
        <v>9.9750416146353604E-3</v>
      </c>
      <c r="F133" s="7">
        <f t="shared" si="3"/>
        <v>9.9750416146353604E-3</v>
      </c>
      <c r="G133" s="7" t="str">
        <f t="shared" si="3"/>
        <v/>
      </c>
      <c r="H133" s="7" t="str">
        <f t="shared" si="3"/>
        <v/>
      </c>
      <c r="I133" s="7" t="str">
        <f t="shared" si="3"/>
        <v/>
      </c>
      <c r="J133" s="7" t="str">
        <f t="shared" si="3"/>
        <v/>
      </c>
      <c r="K133" s="7" t="str">
        <f t="shared" si="3"/>
        <v/>
      </c>
      <c r="L133" s="7" t="str">
        <f t="shared" si="3"/>
        <v/>
      </c>
      <c r="M133" s="7" t="str">
        <f t="shared" si="3"/>
        <v/>
      </c>
      <c r="N133" s="7" t="str">
        <f t="shared" si="3"/>
        <v/>
      </c>
      <c r="O133" s="7" t="str">
        <f t="shared" si="3"/>
        <v/>
      </c>
      <c r="P133" s="7">
        <f t="shared" si="5"/>
        <v>9.9750416146353604E-3</v>
      </c>
    </row>
    <row r="134" spans="4:16" x14ac:dyDescent="0.3">
      <c r="D134" s="7">
        <v>0.2</v>
      </c>
      <c r="E134" s="7">
        <f t="shared" si="4"/>
        <v>1.9900332501663787E-2</v>
      </c>
      <c r="F134" s="7">
        <f t="shared" si="3"/>
        <v>1.9900332501663787E-2</v>
      </c>
      <c r="G134" s="7" t="str">
        <f t="shared" si="3"/>
        <v/>
      </c>
      <c r="H134" s="7" t="str">
        <f t="shared" si="3"/>
        <v/>
      </c>
      <c r="I134" s="7" t="str">
        <f t="shared" si="3"/>
        <v/>
      </c>
      <c r="J134" s="7" t="str">
        <f t="shared" si="3"/>
        <v/>
      </c>
      <c r="K134" s="7" t="str">
        <f t="shared" si="3"/>
        <v/>
      </c>
      <c r="L134" s="7" t="str">
        <f t="shared" si="3"/>
        <v/>
      </c>
      <c r="M134" s="7" t="str">
        <f t="shared" si="3"/>
        <v/>
      </c>
      <c r="N134" s="7" t="str">
        <f t="shared" si="3"/>
        <v/>
      </c>
      <c r="O134" s="7" t="str">
        <f t="shared" si="3"/>
        <v/>
      </c>
      <c r="P134" s="7">
        <f t="shared" si="5"/>
        <v>1.9900332501663787E-2</v>
      </c>
    </row>
    <row r="135" spans="4:16" x14ac:dyDescent="0.3">
      <c r="D135" s="7">
        <v>0.5</v>
      </c>
      <c r="E135" s="7">
        <f t="shared" si="4"/>
        <v>4.938017594333477E-2</v>
      </c>
      <c r="F135" s="7">
        <f t="shared" si="3"/>
        <v>4.938017594333477E-2</v>
      </c>
      <c r="G135" s="7" t="str">
        <f t="shared" si="3"/>
        <v/>
      </c>
      <c r="H135" s="7" t="str">
        <f t="shared" si="3"/>
        <v/>
      </c>
      <c r="I135" s="7" t="str">
        <f t="shared" si="3"/>
        <v/>
      </c>
      <c r="J135" s="7" t="str">
        <f t="shared" si="3"/>
        <v/>
      </c>
      <c r="K135" s="7" t="str">
        <f t="shared" si="3"/>
        <v/>
      </c>
      <c r="L135" s="7" t="str">
        <f t="shared" si="3"/>
        <v/>
      </c>
      <c r="M135" s="7" t="str">
        <f t="shared" si="3"/>
        <v/>
      </c>
      <c r="N135" s="7" t="str">
        <f t="shared" si="3"/>
        <v/>
      </c>
      <c r="O135" s="7" t="str">
        <f t="shared" si="3"/>
        <v/>
      </c>
      <c r="P135" s="7">
        <f t="shared" si="5"/>
        <v>4.938017594333477E-2</v>
      </c>
    </row>
    <row r="136" spans="4:16" x14ac:dyDescent="0.3">
      <c r="D136" s="7">
        <v>1</v>
      </c>
      <c r="E136" s="7">
        <f t="shared" si="4"/>
        <v>9.7541150998571968E-2</v>
      </c>
      <c r="F136" s="7">
        <f t="shared" si="3"/>
        <v>9.7541150998571968E-2</v>
      </c>
      <c r="G136" s="7" t="str">
        <f t="shared" si="3"/>
        <v/>
      </c>
      <c r="H136" s="7" t="str">
        <f t="shared" si="3"/>
        <v/>
      </c>
      <c r="I136" s="7" t="str">
        <f t="shared" si="3"/>
        <v/>
      </c>
      <c r="J136" s="7" t="str">
        <f t="shared" si="3"/>
        <v/>
      </c>
      <c r="K136" s="7" t="str">
        <f t="shared" si="3"/>
        <v/>
      </c>
      <c r="L136" s="7" t="str">
        <f t="shared" si="3"/>
        <v/>
      </c>
      <c r="M136" s="7" t="str">
        <f t="shared" si="3"/>
        <v/>
      </c>
      <c r="N136" s="7" t="str">
        <f t="shared" si="3"/>
        <v/>
      </c>
      <c r="O136" s="7" t="str">
        <f t="shared" si="3"/>
        <v/>
      </c>
      <c r="P136" s="7">
        <f t="shared" si="5"/>
        <v>9.7541150998571968E-2</v>
      </c>
    </row>
    <row r="137" spans="4:16" x14ac:dyDescent="0.3">
      <c r="D137" s="7">
        <v>2</v>
      </c>
      <c r="E137" s="7">
        <f t="shared" si="4"/>
        <v>0.19032516392808096</v>
      </c>
      <c r="F137" s="7">
        <f t="shared" si="3"/>
        <v>0.19032516392808096</v>
      </c>
      <c r="G137" s="7" t="str">
        <f t="shared" si="3"/>
        <v/>
      </c>
      <c r="H137" s="7" t="str">
        <f t="shared" si="3"/>
        <v/>
      </c>
      <c r="I137" s="7" t="str">
        <f t="shared" si="3"/>
        <v/>
      </c>
      <c r="J137" s="7" t="str">
        <f t="shared" si="3"/>
        <v/>
      </c>
      <c r="K137" s="7" t="str">
        <f t="shared" si="3"/>
        <v/>
      </c>
      <c r="L137" s="7" t="str">
        <f t="shared" si="3"/>
        <v/>
      </c>
      <c r="M137" s="7" t="str">
        <f t="shared" si="3"/>
        <v/>
      </c>
      <c r="N137" s="7" t="str">
        <f t="shared" si="3"/>
        <v/>
      </c>
      <c r="O137" s="7" t="str">
        <f t="shared" si="3"/>
        <v/>
      </c>
      <c r="P137" s="7">
        <f t="shared" si="5"/>
        <v>0.19032516392808096</v>
      </c>
    </row>
    <row r="138" spans="4:16" x14ac:dyDescent="0.3">
      <c r="D138" s="7">
        <v>5</v>
      </c>
      <c r="E138" s="7">
        <f t="shared" si="4"/>
        <v>0.44239843385719024</v>
      </c>
      <c r="F138" s="7">
        <f t="shared" si="3"/>
        <v>0.44239843385719024</v>
      </c>
      <c r="G138" s="7" t="str">
        <f t="shared" si="3"/>
        <v/>
      </c>
      <c r="H138" s="7" t="str">
        <f t="shared" si="3"/>
        <v/>
      </c>
      <c r="I138" s="7" t="str">
        <f t="shared" si="3"/>
        <v/>
      </c>
      <c r="J138" s="7" t="str">
        <f t="shared" si="3"/>
        <v/>
      </c>
      <c r="K138" s="7" t="str">
        <f t="shared" si="3"/>
        <v/>
      </c>
      <c r="L138" s="7" t="str">
        <f t="shared" si="3"/>
        <v/>
      </c>
      <c r="M138" s="7" t="str">
        <f t="shared" si="3"/>
        <v/>
      </c>
      <c r="N138" s="7" t="str">
        <f t="shared" si="3"/>
        <v/>
      </c>
      <c r="O138" s="7" t="str">
        <f t="shared" si="3"/>
        <v/>
      </c>
      <c r="P138" s="7">
        <f t="shared" si="5"/>
        <v>0.44239843385719024</v>
      </c>
    </row>
    <row r="139" spans="4:16" x14ac:dyDescent="0.3">
      <c r="D139" s="7">
        <v>10</v>
      </c>
      <c r="E139" s="7">
        <f t="shared" si="4"/>
        <v>0.78693868057473315</v>
      </c>
      <c r="F139" s="7">
        <f t="shared" si="3"/>
        <v>0.78693868057473315</v>
      </c>
      <c r="G139" s="7" t="str">
        <f t="shared" si="3"/>
        <v/>
      </c>
      <c r="H139" s="7" t="str">
        <f t="shared" si="3"/>
        <v/>
      </c>
      <c r="I139" s="7" t="str">
        <f t="shared" si="3"/>
        <v/>
      </c>
      <c r="J139" s="7" t="str">
        <f t="shared" si="3"/>
        <v/>
      </c>
      <c r="K139" s="7" t="str">
        <f t="shared" si="3"/>
        <v/>
      </c>
      <c r="L139" s="7" t="str">
        <f t="shared" si="3"/>
        <v/>
      </c>
      <c r="M139" s="7" t="str">
        <f t="shared" si="3"/>
        <v/>
      </c>
      <c r="N139" s="7" t="str">
        <f t="shared" si="3"/>
        <v/>
      </c>
      <c r="O139" s="7" t="str">
        <f t="shared" si="3"/>
        <v/>
      </c>
      <c r="P139" s="7">
        <f t="shared" si="5"/>
        <v>0.78693868057473315</v>
      </c>
    </row>
    <row r="140" spans="4:16" x14ac:dyDescent="0.3">
      <c r="D140" s="7">
        <v>20</v>
      </c>
      <c r="E140" s="7">
        <f t="shared" si="4"/>
        <v>1.2642411176571153</v>
      </c>
      <c r="F140" s="7">
        <f t="shared" si="3"/>
        <v>1.2642411176571153</v>
      </c>
      <c r="G140" s="7" t="str">
        <f t="shared" si="3"/>
        <v/>
      </c>
      <c r="H140" s="7" t="str">
        <f t="shared" si="3"/>
        <v/>
      </c>
      <c r="I140" s="7" t="str">
        <f t="shared" si="3"/>
        <v/>
      </c>
      <c r="J140" s="7" t="str">
        <f t="shared" si="3"/>
        <v/>
      </c>
      <c r="K140" s="7" t="str">
        <f t="shared" si="3"/>
        <v/>
      </c>
      <c r="L140" s="7" t="str">
        <f t="shared" si="3"/>
        <v/>
      </c>
      <c r="M140" s="7" t="str">
        <f t="shared" si="3"/>
        <v/>
      </c>
      <c r="N140" s="7" t="str">
        <f t="shared" si="3"/>
        <v/>
      </c>
      <c r="O140" s="7" t="str">
        <f t="shared" si="3"/>
        <v/>
      </c>
      <c r="P140" s="7">
        <f t="shared" si="5"/>
        <v>1.2642411176571153</v>
      </c>
    </row>
    <row r="141" spans="4:16" x14ac:dyDescent="0.3">
      <c r="D141" s="7">
        <v>50</v>
      </c>
      <c r="E141" s="7">
        <f t="shared" si="4"/>
        <v>1.8358300027522023</v>
      </c>
      <c r="F141" s="7">
        <f t="shared" si="3"/>
        <v>1.8358300027522023</v>
      </c>
      <c r="G141" s="7" t="str">
        <f t="shared" si="3"/>
        <v/>
      </c>
      <c r="H141" s="7" t="str">
        <f t="shared" si="3"/>
        <v/>
      </c>
      <c r="I141" s="7" t="str">
        <f t="shared" si="3"/>
        <v/>
      </c>
      <c r="J141" s="7" t="str">
        <f t="shared" si="3"/>
        <v/>
      </c>
      <c r="K141" s="7" t="str">
        <f t="shared" si="3"/>
        <v/>
      </c>
      <c r="L141" s="7" t="str">
        <f t="shared" si="3"/>
        <v/>
      </c>
      <c r="M141" s="7" t="str">
        <f t="shared" si="3"/>
        <v/>
      </c>
      <c r="N141" s="7" t="str">
        <f t="shared" si="3"/>
        <v/>
      </c>
      <c r="O141" s="7" t="str">
        <f t="shared" si="3"/>
        <v/>
      </c>
      <c r="P141" s="7">
        <f t="shared" si="5"/>
        <v>1.8358300027522023</v>
      </c>
    </row>
    <row r="142" spans="4:16" x14ac:dyDescent="0.3">
      <c r="D142" s="7">
        <v>100</v>
      </c>
      <c r="E142" s="7">
        <f t="shared" si="4"/>
        <v>1.986524106001829</v>
      </c>
      <c r="F142" s="7">
        <f t="shared" si="3"/>
        <v>1.986524106001829</v>
      </c>
      <c r="G142" s="7" t="str">
        <f t="shared" si="3"/>
        <v/>
      </c>
      <c r="H142" s="7" t="str">
        <f t="shared" si="3"/>
        <v/>
      </c>
      <c r="I142" s="7" t="str">
        <f t="shared" si="3"/>
        <v/>
      </c>
      <c r="J142" s="7" t="str">
        <f t="shared" si="3"/>
        <v/>
      </c>
      <c r="K142" s="7" t="str">
        <f t="shared" si="3"/>
        <v/>
      </c>
      <c r="L142" s="7" t="str">
        <f t="shared" si="3"/>
        <v/>
      </c>
      <c r="M142" s="7" t="str">
        <f t="shared" si="3"/>
        <v/>
      </c>
      <c r="N142" s="7" t="str">
        <f t="shared" si="3"/>
        <v/>
      </c>
      <c r="O142" s="7" t="str">
        <f t="shared" si="3"/>
        <v/>
      </c>
      <c r="P142" s="7">
        <f t="shared" si="5"/>
        <v>1.986524106001829</v>
      </c>
    </row>
    <row r="143" spans="4:16" x14ac:dyDescent="0.3">
      <c r="D143" s="7">
        <v>200</v>
      </c>
      <c r="E143" s="7">
        <f t="shared" si="4"/>
        <v>1.999909200140475</v>
      </c>
      <c r="F143" s="7">
        <f t="shared" si="4"/>
        <v>1.999909200140475</v>
      </c>
      <c r="G143" s="7" t="str">
        <f t="shared" si="4"/>
        <v/>
      </c>
      <c r="H143" s="7" t="str">
        <f t="shared" si="4"/>
        <v/>
      </c>
      <c r="I143" s="7" t="str">
        <f t="shared" si="4"/>
        <v/>
      </c>
      <c r="J143" s="7" t="str">
        <f t="shared" si="4"/>
        <v/>
      </c>
      <c r="K143" s="7" t="str">
        <f t="shared" si="4"/>
        <v/>
      </c>
      <c r="L143" s="7" t="str">
        <f t="shared" si="4"/>
        <v/>
      </c>
      <c r="M143" s="7" t="str">
        <f t="shared" si="4"/>
        <v/>
      </c>
      <c r="N143" s="7" t="str">
        <f t="shared" si="4"/>
        <v/>
      </c>
      <c r="O143" s="7" t="str">
        <f t="shared" si="4"/>
        <v/>
      </c>
      <c r="P143" s="7">
        <f t="shared" si="5"/>
        <v>1.999909200140475</v>
      </c>
    </row>
    <row r="144" spans="4:16" x14ac:dyDescent="0.3">
      <c r="D144" s="7">
        <v>500</v>
      </c>
      <c r="E144" s="7">
        <f t="shared" si="4"/>
        <v>1.9999999999722242</v>
      </c>
      <c r="F144" s="7">
        <f t="shared" si="4"/>
        <v>1.9999999999722242</v>
      </c>
      <c r="G144" s="7" t="str">
        <f t="shared" si="4"/>
        <v/>
      </c>
      <c r="H144" s="7" t="str">
        <f t="shared" si="4"/>
        <v/>
      </c>
      <c r="I144" s="7" t="str">
        <f t="shared" si="4"/>
        <v/>
      </c>
      <c r="J144" s="7" t="str">
        <f t="shared" si="4"/>
        <v/>
      </c>
      <c r="K144" s="7" t="str">
        <f t="shared" si="4"/>
        <v/>
      </c>
      <c r="L144" s="7" t="str">
        <f t="shared" si="4"/>
        <v/>
      </c>
      <c r="M144" s="7" t="str">
        <f t="shared" si="4"/>
        <v/>
      </c>
      <c r="N144" s="7" t="str">
        <f t="shared" si="4"/>
        <v/>
      </c>
      <c r="O144" s="7" t="str">
        <f t="shared" si="4"/>
        <v/>
      </c>
      <c r="P144" s="7">
        <f t="shared" si="5"/>
        <v>1.9999999999722242</v>
      </c>
    </row>
    <row r="145" spans="4:16" x14ac:dyDescent="0.3">
      <c r="D145" s="7">
        <v>1000</v>
      </c>
      <c r="E145" s="7">
        <f t="shared" si="4"/>
        <v>2</v>
      </c>
      <c r="F145" s="7">
        <f t="shared" si="4"/>
        <v>2</v>
      </c>
      <c r="G145" s="7" t="str">
        <f t="shared" si="4"/>
        <v/>
      </c>
      <c r="H145" s="7" t="str">
        <f t="shared" si="4"/>
        <v/>
      </c>
      <c r="I145" s="7" t="str">
        <f t="shared" si="4"/>
        <v/>
      </c>
      <c r="J145" s="7" t="str">
        <f t="shared" si="4"/>
        <v/>
      </c>
      <c r="K145" s="7" t="str">
        <f t="shared" si="4"/>
        <v/>
      </c>
      <c r="L145" s="7" t="str">
        <f t="shared" si="4"/>
        <v/>
      </c>
      <c r="M145" s="7" t="str">
        <f t="shared" si="4"/>
        <v/>
      </c>
      <c r="N145" s="7" t="str">
        <f t="shared" si="4"/>
        <v/>
      </c>
      <c r="O145" s="7" t="str">
        <f t="shared" si="4"/>
        <v/>
      </c>
      <c r="P145" s="7">
        <f t="shared" si="5"/>
        <v>2</v>
      </c>
    </row>
    <row r="146" spans="4:16" x14ac:dyDescent="0.3">
      <c r="D146" s="7">
        <v>2000</v>
      </c>
      <c r="E146" s="7">
        <f t="shared" si="4"/>
        <v>2</v>
      </c>
      <c r="F146" s="7">
        <f t="shared" si="4"/>
        <v>2</v>
      </c>
      <c r="G146" s="7" t="str">
        <f t="shared" si="4"/>
        <v/>
      </c>
      <c r="H146" s="7" t="str">
        <f t="shared" si="4"/>
        <v/>
      </c>
      <c r="I146" s="7" t="str">
        <f t="shared" si="4"/>
        <v/>
      </c>
      <c r="J146" s="7" t="str">
        <f t="shared" si="4"/>
        <v/>
      </c>
      <c r="K146" s="7" t="str">
        <f t="shared" si="4"/>
        <v/>
      </c>
      <c r="L146" s="7" t="str">
        <f t="shared" si="4"/>
        <v/>
      </c>
      <c r="M146" s="7" t="str">
        <f t="shared" si="4"/>
        <v/>
      </c>
      <c r="N146" s="7" t="str">
        <f t="shared" si="4"/>
        <v/>
      </c>
      <c r="O146" s="7" t="str">
        <f t="shared" si="4"/>
        <v/>
      </c>
      <c r="P146" s="7">
        <f t="shared" si="5"/>
        <v>2</v>
      </c>
    </row>
    <row r="147" spans="4:16" x14ac:dyDescent="0.3">
      <c r="D147" s="7">
        <v>5000</v>
      </c>
      <c r="E147" s="7">
        <f t="shared" si="4"/>
        <v>2</v>
      </c>
      <c r="F147" s="7">
        <f t="shared" si="4"/>
        <v>2</v>
      </c>
      <c r="G147" s="7" t="str">
        <f t="shared" si="4"/>
        <v/>
      </c>
      <c r="H147" s="7" t="str">
        <f t="shared" si="4"/>
        <v/>
      </c>
      <c r="I147" s="7" t="str">
        <f t="shared" si="4"/>
        <v/>
      </c>
      <c r="J147" s="7" t="str">
        <f t="shared" si="4"/>
        <v/>
      </c>
      <c r="K147" s="7" t="str">
        <f t="shared" si="4"/>
        <v/>
      </c>
      <c r="L147" s="7" t="str">
        <f t="shared" si="4"/>
        <v/>
      </c>
      <c r="M147" s="7" t="str">
        <f t="shared" si="4"/>
        <v/>
      </c>
      <c r="N147" s="7" t="str">
        <f t="shared" si="4"/>
        <v/>
      </c>
      <c r="O147" s="7" t="str">
        <f t="shared" si="4"/>
        <v/>
      </c>
      <c r="P147" s="7">
        <f t="shared" si="5"/>
        <v>2</v>
      </c>
    </row>
    <row r="148" spans="4:16" x14ac:dyDescent="0.3">
      <c r="D148" s="7">
        <v>10000</v>
      </c>
      <c r="E148" s="7">
        <f t="shared" si="4"/>
        <v>2</v>
      </c>
      <c r="F148" s="7">
        <f t="shared" si="4"/>
        <v>2</v>
      </c>
      <c r="G148" s="7" t="str">
        <f t="shared" si="4"/>
        <v/>
      </c>
      <c r="H148" s="7" t="str">
        <f t="shared" si="4"/>
        <v/>
      </c>
      <c r="I148" s="7" t="str">
        <f t="shared" si="4"/>
        <v/>
      </c>
      <c r="J148" s="7" t="str">
        <f t="shared" si="4"/>
        <v/>
      </c>
      <c r="K148" s="7" t="str">
        <f t="shared" si="4"/>
        <v/>
      </c>
      <c r="L148" s="7" t="str">
        <f t="shared" si="4"/>
        <v/>
      </c>
      <c r="M148" s="7" t="str">
        <f t="shared" si="4"/>
        <v/>
      </c>
      <c r="N148" s="7" t="str">
        <f t="shared" si="4"/>
        <v/>
      </c>
      <c r="O148" s="7" t="str">
        <f t="shared" si="4"/>
        <v/>
      </c>
      <c r="P148" s="7">
        <f>SUM(F148:O148)</f>
        <v>2</v>
      </c>
    </row>
    <row r="153" spans="4:16" x14ac:dyDescent="0.3">
      <c r="D153" t="s">
        <v>31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 t="s">
        <v>37</v>
      </c>
      <c r="K153" t="s">
        <v>38</v>
      </c>
      <c r="L153" t="s">
        <v>39</v>
      </c>
      <c r="M153" t="s">
        <v>40</v>
      </c>
      <c r="N153" t="s">
        <v>41</v>
      </c>
      <c r="O153" t="s">
        <v>42</v>
      </c>
      <c r="P153" t="s">
        <v>168</v>
      </c>
    </row>
    <row r="154" spans="4:16" x14ac:dyDescent="0.3">
      <c r="D154" s="7">
        <v>1E-3</v>
      </c>
      <c r="E154" s="7">
        <f>IFERROR(E$6*(1-EXP(-$D154/(E$7*E$5))),"")</f>
        <v>7.9999919999629299E-6</v>
      </c>
      <c r="F154" s="7">
        <f>IFERROR(F$6*(1-EXP(-$D154/(F$7*F$5))),"")</f>
        <v>7.9999919999629299E-6</v>
      </c>
      <c r="G154" s="7" t="str">
        <f t="shared" ref="G154:O169" si="6">IFERROR(G$6*(1-EXP(-$D154/(G$7*G$5))),"")</f>
        <v/>
      </c>
      <c r="H154" s="7" t="str">
        <f t="shared" si="6"/>
        <v/>
      </c>
      <c r="I154" s="7" t="str">
        <f t="shared" si="6"/>
        <v/>
      </c>
      <c r="J154" s="7" t="str">
        <f t="shared" si="6"/>
        <v/>
      </c>
      <c r="K154" s="7" t="str">
        <f t="shared" si="6"/>
        <v/>
      </c>
      <c r="L154" s="7" t="str">
        <f t="shared" si="6"/>
        <v/>
      </c>
      <c r="M154" s="7" t="str">
        <f t="shared" si="6"/>
        <v/>
      </c>
      <c r="N154" s="7" t="str">
        <f t="shared" si="6"/>
        <v/>
      </c>
      <c r="O154" s="7" t="str">
        <f t="shared" si="6"/>
        <v/>
      </c>
      <c r="P154" s="7">
        <f>SUM(F154:O154)</f>
        <v>7.9999919999629299E-6</v>
      </c>
    </row>
    <row r="155" spans="4:16" x14ac:dyDescent="0.3">
      <c r="D155" s="7">
        <v>2E-3</v>
      </c>
      <c r="E155" s="7">
        <f t="shared" ref="E155:O175" si="7">IFERROR(E$6*(1-EXP(-$D155/(E$7*E$5))),"")</f>
        <v>1.5999967999835718E-5</v>
      </c>
      <c r="F155" s="7">
        <f t="shared" si="7"/>
        <v>1.5999967999835718E-5</v>
      </c>
      <c r="G155" s="7" t="str">
        <f t="shared" si="6"/>
        <v/>
      </c>
      <c r="H155" s="7" t="str">
        <f t="shared" si="6"/>
        <v/>
      </c>
      <c r="I155" s="7" t="str">
        <f t="shared" si="6"/>
        <v/>
      </c>
      <c r="J155" s="7" t="str">
        <f t="shared" si="6"/>
        <v/>
      </c>
      <c r="K155" s="7" t="str">
        <f t="shared" si="6"/>
        <v/>
      </c>
      <c r="L155" s="7" t="str">
        <f t="shared" si="6"/>
        <v/>
      </c>
      <c r="M155" s="7" t="str">
        <f t="shared" si="6"/>
        <v/>
      </c>
      <c r="N155" s="7" t="str">
        <f t="shared" si="6"/>
        <v/>
      </c>
      <c r="O155" s="7" t="str">
        <f t="shared" si="6"/>
        <v/>
      </c>
      <c r="P155" s="7">
        <f t="shared" ref="P155:P174" si="8">SUM(F155:O155)</f>
        <v>1.5999967999835718E-5</v>
      </c>
    </row>
    <row r="156" spans="4:16" x14ac:dyDescent="0.3">
      <c r="D156" s="7">
        <v>5.0000000000000001E-3</v>
      </c>
      <c r="E156" s="7">
        <f t="shared" si="7"/>
        <v>3.9999800000689589E-5</v>
      </c>
      <c r="F156" s="7">
        <f t="shared" si="7"/>
        <v>3.9999800000689589E-5</v>
      </c>
      <c r="G156" s="7" t="str">
        <f t="shared" si="6"/>
        <v/>
      </c>
      <c r="H156" s="7" t="str">
        <f t="shared" si="6"/>
        <v/>
      </c>
      <c r="I156" s="7" t="str">
        <f t="shared" si="6"/>
        <v/>
      </c>
      <c r="J156" s="7" t="str">
        <f t="shared" si="6"/>
        <v/>
      </c>
      <c r="K156" s="7" t="str">
        <f t="shared" si="6"/>
        <v/>
      </c>
      <c r="L156" s="7" t="str">
        <f t="shared" si="6"/>
        <v/>
      </c>
      <c r="M156" s="7" t="str">
        <f t="shared" si="6"/>
        <v/>
      </c>
      <c r="N156" s="7" t="str">
        <f t="shared" si="6"/>
        <v/>
      </c>
      <c r="O156" s="7" t="str">
        <f t="shared" si="6"/>
        <v/>
      </c>
      <c r="P156" s="7">
        <f t="shared" si="8"/>
        <v>3.9999800000689589E-5</v>
      </c>
    </row>
    <row r="157" spans="4:16" x14ac:dyDescent="0.3">
      <c r="D157" s="7">
        <v>0.01</v>
      </c>
      <c r="E157" s="7">
        <f t="shared" si="7"/>
        <v>7.9999200005342885E-5</v>
      </c>
      <c r="F157" s="7">
        <f t="shared" si="7"/>
        <v>7.9999200005342885E-5</v>
      </c>
      <c r="G157" s="7" t="str">
        <f t="shared" si="6"/>
        <v/>
      </c>
      <c r="H157" s="7" t="str">
        <f t="shared" si="6"/>
        <v/>
      </c>
      <c r="I157" s="7" t="str">
        <f t="shared" si="6"/>
        <v/>
      </c>
      <c r="J157" s="7" t="str">
        <f t="shared" si="6"/>
        <v/>
      </c>
      <c r="K157" s="7" t="str">
        <f t="shared" si="6"/>
        <v/>
      </c>
      <c r="L157" s="7" t="str">
        <f t="shared" si="6"/>
        <v/>
      </c>
      <c r="M157" s="7" t="str">
        <f t="shared" si="6"/>
        <v/>
      </c>
      <c r="N157" s="7" t="str">
        <f t="shared" si="6"/>
        <v/>
      </c>
      <c r="O157" s="7" t="str">
        <f t="shared" si="6"/>
        <v/>
      </c>
      <c r="P157" s="7">
        <f t="shared" si="8"/>
        <v>7.9999200005342885E-5</v>
      </c>
    </row>
    <row r="158" spans="4:16" x14ac:dyDescent="0.3">
      <c r="D158" s="7">
        <v>0.02</v>
      </c>
      <c r="E158" s="7">
        <f t="shared" si="7"/>
        <v>1.5999680004252781E-4</v>
      </c>
      <c r="F158" s="7">
        <f t="shared" si="7"/>
        <v>1.5999680004252781E-4</v>
      </c>
      <c r="G158" s="7" t="str">
        <f t="shared" si="6"/>
        <v/>
      </c>
      <c r="H158" s="7" t="str">
        <f t="shared" si="6"/>
        <v/>
      </c>
      <c r="I158" s="7" t="str">
        <f t="shared" si="6"/>
        <v/>
      </c>
      <c r="J158" s="7" t="str">
        <f t="shared" si="6"/>
        <v/>
      </c>
      <c r="K158" s="7" t="str">
        <f t="shared" si="6"/>
        <v/>
      </c>
      <c r="L158" s="7" t="str">
        <f t="shared" si="6"/>
        <v/>
      </c>
      <c r="M158" s="7" t="str">
        <f t="shared" si="6"/>
        <v/>
      </c>
      <c r="N158" s="7" t="str">
        <f t="shared" si="6"/>
        <v/>
      </c>
      <c r="O158" s="7" t="str">
        <f t="shared" si="6"/>
        <v/>
      </c>
      <c r="P158" s="7">
        <f t="shared" si="8"/>
        <v>1.5999680004252781E-4</v>
      </c>
    </row>
    <row r="159" spans="4:16" x14ac:dyDescent="0.3">
      <c r="D159" s="7">
        <v>0.05</v>
      </c>
      <c r="E159" s="7">
        <f t="shared" si="7"/>
        <v>3.999800006666554E-4</v>
      </c>
      <c r="F159" s="7">
        <f t="shared" si="7"/>
        <v>3.999800006666554E-4</v>
      </c>
      <c r="G159" s="7" t="str">
        <f t="shared" si="6"/>
        <v/>
      </c>
      <c r="H159" s="7" t="str">
        <f t="shared" si="6"/>
        <v/>
      </c>
      <c r="I159" s="7" t="str">
        <f t="shared" si="6"/>
        <v/>
      </c>
      <c r="J159" s="7" t="str">
        <f t="shared" si="6"/>
        <v/>
      </c>
      <c r="K159" s="7" t="str">
        <f t="shared" si="6"/>
        <v/>
      </c>
      <c r="L159" s="7" t="str">
        <f t="shared" si="6"/>
        <v/>
      </c>
      <c r="M159" s="7" t="str">
        <f t="shared" si="6"/>
        <v/>
      </c>
      <c r="N159" s="7" t="str">
        <f t="shared" si="6"/>
        <v/>
      </c>
      <c r="O159" s="7" t="str">
        <f t="shared" si="6"/>
        <v/>
      </c>
      <c r="P159" s="7">
        <f t="shared" si="8"/>
        <v>3.999800006666554E-4</v>
      </c>
    </row>
    <row r="160" spans="4:16" x14ac:dyDescent="0.3">
      <c r="D160" s="7">
        <v>0.1</v>
      </c>
      <c r="E160" s="7">
        <f t="shared" si="7"/>
        <v>7.9992000533302132E-4</v>
      </c>
      <c r="F160" s="7">
        <f t="shared" si="7"/>
        <v>7.9992000533302132E-4</v>
      </c>
      <c r="G160" s="7" t="str">
        <f t="shared" si="6"/>
        <v/>
      </c>
      <c r="H160" s="7" t="str">
        <f t="shared" si="6"/>
        <v/>
      </c>
      <c r="I160" s="7" t="str">
        <f t="shared" si="6"/>
        <v/>
      </c>
      <c r="J160" s="7" t="str">
        <f t="shared" si="6"/>
        <v/>
      </c>
      <c r="K160" s="7" t="str">
        <f t="shared" si="6"/>
        <v/>
      </c>
      <c r="L160" s="7" t="str">
        <f t="shared" si="6"/>
        <v/>
      </c>
      <c r="M160" s="7" t="str">
        <f t="shared" si="6"/>
        <v/>
      </c>
      <c r="N160" s="7" t="str">
        <f t="shared" si="6"/>
        <v/>
      </c>
      <c r="O160" s="7" t="str">
        <f t="shared" si="6"/>
        <v/>
      </c>
      <c r="P160" s="7">
        <f t="shared" si="8"/>
        <v>7.9992000533302132E-4</v>
      </c>
    </row>
    <row r="161" spans="4:16" x14ac:dyDescent="0.3">
      <c r="D161" s="7">
        <v>0.2</v>
      </c>
      <c r="E161" s="7">
        <f t="shared" si="7"/>
        <v>1.5996800426623103E-3</v>
      </c>
      <c r="F161" s="7">
        <f t="shared" si="7"/>
        <v>1.5996800426623103E-3</v>
      </c>
      <c r="G161" s="7" t="str">
        <f t="shared" si="6"/>
        <v/>
      </c>
      <c r="H161" s="7" t="str">
        <f t="shared" si="6"/>
        <v/>
      </c>
      <c r="I161" s="7" t="str">
        <f t="shared" si="6"/>
        <v/>
      </c>
      <c r="J161" s="7" t="str">
        <f t="shared" si="6"/>
        <v/>
      </c>
      <c r="K161" s="7" t="str">
        <f t="shared" si="6"/>
        <v/>
      </c>
      <c r="L161" s="7" t="str">
        <f t="shared" si="6"/>
        <v/>
      </c>
      <c r="M161" s="7" t="str">
        <f t="shared" si="6"/>
        <v/>
      </c>
      <c r="N161" s="7" t="str">
        <f t="shared" si="6"/>
        <v/>
      </c>
      <c r="O161" s="7" t="str">
        <f t="shared" si="6"/>
        <v/>
      </c>
      <c r="P161" s="7">
        <f t="shared" si="8"/>
        <v>1.5996800426623103E-3</v>
      </c>
    </row>
    <row r="162" spans="4:16" x14ac:dyDescent="0.3">
      <c r="D162" s="7">
        <v>0.5</v>
      </c>
      <c r="E162" s="7">
        <f t="shared" si="7"/>
        <v>3.9980006664999124E-3</v>
      </c>
      <c r="F162" s="7">
        <f t="shared" si="7"/>
        <v>3.9980006664999124E-3</v>
      </c>
      <c r="G162" s="7" t="str">
        <f t="shared" si="6"/>
        <v/>
      </c>
      <c r="H162" s="7" t="str">
        <f t="shared" si="6"/>
        <v/>
      </c>
      <c r="I162" s="7" t="str">
        <f t="shared" si="6"/>
        <v/>
      </c>
      <c r="J162" s="7" t="str">
        <f t="shared" si="6"/>
        <v/>
      </c>
      <c r="K162" s="7" t="str">
        <f t="shared" si="6"/>
        <v/>
      </c>
      <c r="L162" s="7" t="str">
        <f t="shared" si="6"/>
        <v/>
      </c>
      <c r="M162" s="7" t="str">
        <f t="shared" si="6"/>
        <v/>
      </c>
      <c r="N162" s="7" t="str">
        <f t="shared" si="6"/>
        <v/>
      </c>
      <c r="O162" s="7" t="str">
        <f t="shared" si="6"/>
        <v/>
      </c>
      <c r="P162" s="7">
        <f t="shared" si="8"/>
        <v>3.9980006664999124E-3</v>
      </c>
    </row>
    <row r="163" spans="4:16" x14ac:dyDescent="0.3">
      <c r="D163" s="7">
        <v>1</v>
      </c>
      <c r="E163" s="7">
        <f t="shared" si="7"/>
        <v>7.9920053306676841E-3</v>
      </c>
      <c r="F163" s="7">
        <f t="shared" si="7"/>
        <v>7.9920053306676841E-3</v>
      </c>
      <c r="G163" s="7" t="str">
        <f t="shared" si="6"/>
        <v/>
      </c>
      <c r="H163" s="7" t="str">
        <f t="shared" si="6"/>
        <v/>
      </c>
      <c r="I163" s="7" t="str">
        <f t="shared" si="6"/>
        <v/>
      </c>
      <c r="J163" s="7" t="str">
        <f t="shared" si="6"/>
        <v/>
      </c>
      <c r="K163" s="7" t="str">
        <f t="shared" si="6"/>
        <v/>
      </c>
      <c r="L163" s="7" t="str">
        <f t="shared" si="6"/>
        <v/>
      </c>
      <c r="M163" s="7" t="str">
        <f t="shared" si="6"/>
        <v/>
      </c>
      <c r="N163" s="7" t="str">
        <f t="shared" si="6"/>
        <v/>
      </c>
      <c r="O163" s="7" t="str">
        <f t="shared" si="6"/>
        <v/>
      </c>
      <c r="P163" s="7">
        <f t="shared" si="8"/>
        <v>7.9920053306676841E-3</v>
      </c>
    </row>
    <row r="164" spans="4:16" x14ac:dyDescent="0.3">
      <c r="D164" s="7">
        <v>2</v>
      </c>
      <c r="E164" s="7">
        <f t="shared" si="7"/>
        <v>1.5968042624034062E-2</v>
      </c>
      <c r="F164" s="7">
        <f t="shared" si="7"/>
        <v>1.5968042624034062E-2</v>
      </c>
      <c r="G164" s="7" t="str">
        <f t="shared" si="6"/>
        <v/>
      </c>
      <c r="H164" s="7" t="str">
        <f t="shared" si="6"/>
        <v/>
      </c>
      <c r="I164" s="7" t="str">
        <f t="shared" si="6"/>
        <v/>
      </c>
      <c r="J164" s="7" t="str">
        <f t="shared" si="6"/>
        <v/>
      </c>
      <c r="K164" s="7" t="str">
        <f t="shared" si="6"/>
        <v/>
      </c>
      <c r="L164" s="7" t="str">
        <f t="shared" si="6"/>
        <v/>
      </c>
      <c r="M164" s="7" t="str">
        <f t="shared" si="6"/>
        <v/>
      </c>
      <c r="N164" s="7" t="str">
        <f t="shared" si="6"/>
        <v/>
      </c>
      <c r="O164" s="7" t="str">
        <f t="shared" si="6"/>
        <v/>
      </c>
      <c r="P164" s="7">
        <f t="shared" si="8"/>
        <v>1.5968042624034062E-2</v>
      </c>
    </row>
    <row r="165" spans="4:16" x14ac:dyDescent="0.3">
      <c r="D165" s="7">
        <v>5</v>
      </c>
      <c r="E165" s="7">
        <f t="shared" si="7"/>
        <v>3.9800665003327573E-2</v>
      </c>
      <c r="F165" s="7">
        <f t="shared" si="7"/>
        <v>3.9800665003327573E-2</v>
      </c>
      <c r="G165" s="7" t="str">
        <f t="shared" si="6"/>
        <v/>
      </c>
      <c r="H165" s="7" t="str">
        <f t="shared" si="6"/>
        <v/>
      </c>
      <c r="I165" s="7" t="str">
        <f t="shared" si="6"/>
        <v/>
      </c>
      <c r="J165" s="7" t="str">
        <f t="shared" si="6"/>
        <v/>
      </c>
      <c r="K165" s="7" t="str">
        <f t="shared" si="6"/>
        <v/>
      </c>
      <c r="L165" s="7" t="str">
        <f t="shared" si="6"/>
        <v/>
      </c>
      <c r="M165" s="7" t="str">
        <f t="shared" si="6"/>
        <v/>
      </c>
      <c r="N165" s="7" t="str">
        <f t="shared" si="6"/>
        <v/>
      </c>
      <c r="O165" s="7" t="str">
        <f t="shared" si="6"/>
        <v/>
      </c>
      <c r="P165" s="7">
        <f t="shared" si="8"/>
        <v>3.9800665003327573E-2</v>
      </c>
    </row>
    <row r="166" spans="4:16" x14ac:dyDescent="0.3">
      <c r="D166" s="7">
        <v>10</v>
      </c>
      <c r="E166" s="7">
        <f t="shared" si="7"/>
        <v>7.9205306772978989E-2</v>
      </c>
      <c r="F166" s="7">
        <f t="shared" si="7"/>
        <v>7.9205306772978989E-2</v>
      </c>
      <c r="G166" s="7" t="str">
        <f t="shared" si="6"/>
        <v/>
      </c>
      <c r="H166" s="7" t="str">
        <f t="shared" si="6"/>
        <v/>
      </c>
      <c r="I166" s="7" t="str">
        <f t="shared" si="6"/>
        <v/>
      </c>
      <c r="J166" s="7" t="str">
        <f t="shared" si="6"/>
        <v/>
      </c>
      <c r="K166" s="7" t="str">
        <f t="shared" si="6"/>
        <v/>
      </c>
      <c r="L166" s="7" t="str">
        <f t="shared" si="6"/>
        <v/>
      </c>
      <c r="M166" s="7" t="str">
        <f t="shared" si="6"/>
        <v/>
      </c>
      <c r="N166" s="7" t="str">
        <f t="shared" si="6"/>
        <v/>
      </c>
      <c r="O166" s="7" t="str">
        <f t="shared" si="6"/>
        <v/>
      </c>
      <c r="P166" s="7">
        <f t="shared" si="8"/>
        <v>7.9205306772978989E-2</v>
      </c>
    </row>
    <row r="167" spans="4:16" x14ac:dyDescent="0.3">
      <c r="D167" s="7">
        <v>20</v>
      </c>
      <c r="E167" s="7">
        <f t="shared" si="7"/>
        <v>0.15684224339070729</v>
      </c>
      <c r="F167" s="7">
        <f t="shared" si="7"/>
        <v>0.15684224339070729</v>
      </c>
      <c r="G167" s="7" t="str">
        <f t="shared" si="6"/>
        <v/>
      </c>
      <c r="H167" s="7" t="str">
        <f t="shared" si="6"/>
        <v/>
      </c>
      <c r="I167" s="7" t="str">
        <f t="shared" si="6"/>
        <v/>
      </c>
      <c r="J167" s="7" t="str">
        <f t="shared" si="6"/>
        <v/>
      </c>
      <c r="K167" s="7" t="str">
        <f t="shared" si="6"/>
        <v/>
      </c>
      <c r="L167" s="7" t="str">
        <f t="shared" si="6"/>
        <v/>
      </c>
      <c r="M167" s="7" t="str">
        <f t="shared" si="6"/>
        <v/>
      </c>
      <c r="N167" s="7" t="str">
        <f t="shared" si="6"/>
        <v/>
      </c>
      <c r="O167" s="7" t="str">
        <f t="shared" si="6"/>
        <v/>
      </c>
      <c r="P167" s="7">
        <f t="shared" si="8"/>
        <v>0.15684224339070729</v>
      </c>
    </row>
    <row r="168" spans="4:16" x14ac:dyDescent="0.3">
      <c r="D168" s="7">
        <v>50</v>
      </c>
      <c r="E168" s="7">
        <f t="shared" si="7"/>
        <v>0.38065032785616193</v>
      </c>
      <c r="F168" s="7">
        <f t="shared" si="7"/>
        <v>0.38065032785616193</v>
      </c>
      <c r="G168" s="7" t="str">
        <f t="shared" si="6"/>
        <v/>
      </c>
      <c r="H168" s="7" t="str">
        <f t="shared" si="6"/>
        <v/>
      </c>
      <c r="I168" s="7" t="str">
        <f t="shared" si="6"/>
        <v/>
      </c>
      <c r="J168" s="7" t="str">
        <f t="shared" si="6"/>
        <v/>
      </c>
      <c r="K168" s="7" t="str">
        <f t="shared" si="6"/>
        <v/>
      </c>
      <c r="L168" s="7" t="str">
        <f t="shared" si="6"/>
        <v/>
      </c>
      <c r="M168" s="7" t="str">
        <f t="shared" si="6"/>
        <v/>
      </c>
      <c r="N168" s="7" t="str">
        <f t="shared" si="6"/>
        <v/>
      </c>
      <c r="O168" s="7" t="str">
        <f t="shared" si="6"/>
        <v/>
      </c>
      <c r="P168" s="7">
        <f t="shared" si="8"/>
        <v>0.38065032785616193</v>
      </c>
    </row>
    <row r="169" spans="4:16" x14ac:dyDescent="0.3">
      <c r="D169" s="7">
        <v>100</v>
      </c>
      <c r="E169" s="7">
        <f t="shared" si="7"/>
        <v>0.72507698768807272</v>
      </c>
      <c r="F169" s="7">
        <f t="shared" si="7"/>
        <v>0.72507698768807272</v>
      </c>
      <c r="G169" s="7" t="str">
        <f t="shared" si="6"/>
        <v/>
      </c>
      <c r="H169" s="7" t="str">
        <f t="shared" si="6"/>
        <v/>
      </c>
      <c r="I169" s="7" t="str">
        <f t="shared" si="6"/>
        <v/>
      </c>
      <c r="J169" s="7" t="str">
        <f t="shared" si="6"/>
        <v/>
      </c>
      <c r="K169" s="7" t="str">
        <f t="shared" si="6"/>
        <v/>
      </c>
      <c r="L169" s="7" t="str">
        <f t="shared" si="6"/>
        <v/>
      </c>
      <c r="M169" s="7" t="str">
        <f t="shared" si="6"/>
        <v/>
      </c>
      <c r="N169" s="7" t="str">
        <f t="shared" si="6"/>
        <v/>
      </c>
      <c r="O169" s="7" t="str">
        <f t="shared" si="6"/>
        <v/>
      </c>
      <c r="P169" s="7">
        <f t="shared" si="8"/>
        <v>0.72507698768807272</v>
      </c>
    </row>
    <row r="170" spans="4:16" x14ac:dyDescent="0.3">
      <c r="D170" s="7">
        <v>200</v>
      </c>
      <c r="E170" s="7">
        <f t="shared" si="7"/>
        <v>1.3187198158574427</v>
      </c>
      <c r="F170" s="7">
        <f t="shared" si="7"/>
        <v>1.3187198158574427</v>
      </c>
      <c r="G170" s="7" t="str">
        <f t="shared" si="7"/>
        <v/>
      </c>
      <c r="H170" s="7" t="str">
        <f t="shared" si="7"/>
        <v/>
      </c>
      <c r="I170" s="7" t="str">
        <f t="shared" si="7"/>
        <v/>
      </c>
      <c r="J170" s="7" t="str">
        <f t="shared" si="7"/>
        <v/>
      </c>
      <c r="K170" s="7" t="str">
        <f t="shared" si="7"/>
        <v/>
      </c>
      <c r="L170" s="7" t="str">
        <f t="shared" si="7"/>
        <v/>
      </c>
      <c r="M170" s="7" t="str">
        <f t="shared" si="7"/>
        <v/>
      </c>
      <c r="N170" s="7" t="str">
        <f t="shared" si="7"/>
        <v/>
      </c>
      <c r="O170" s="7" t="str">
        <f t="shared" si="7"/>
        <v/>
      </c>
      <c r="P170" s="7">
        <f t="shared" si="8"/>
        <v>1.3187198158574427</v>
      </c>
    </row>
    <row r="171" spans="4:16" x14ac:dyDescent="0.3">
      <c r="D171" s="7">
        <v>500</v>
      </c>
      <c r="E171" s="7">
        <f t="shared" si="7"/>
        <v>2.5284822353142307</v>
      </c>
      <c r="F171" s="7">
        <f t="shared" si="7"/>
        <v>2.5284822353142307</v>
      </c>
      <c r="G171" s="7" t="str">
        <f t="shared" si="7"/>
        <v/>
      </c>
      <c r="H171" s="7" t="str">
        <f t="shared" si="7"/>
        <v/>
      </c>
      <c r="I171" s="7" t="str">
        <f t="shared" si="7"/>
        <v/>
      </c>
      <c r="J171" s="7" t="str">
        <f t="shared" si="7"/>
        <v/>
      </c>
      <c r="K171" s="7" t="str">
        <f t="shared" si="7"/>
        <v/>
      </c>
      <c r="L171" s="7" t="str">
        <f t="shared" si="7"/>
        <v/>
      </c>
      <c r="M171" s="7" t="str">
        <f t="shared" si="7"/>
        <v/>
      </c>
      <c r="N171" s="7" t="str">
        <f t="shared" si="7"/>
        <v/>
      </c>
      <c r="O171" s="7" t="str">
        <f t="shared" si="7"/>
        <v/>
      </c>
      <c r="P171" s="7">
        <f t="shared" si="8"/>
        <v>2.5284822353142307</v>
      </c>
    </row>
    <row r="172" spans="4:16" x14ac:dyDescent="0.3">
      <c r="D172" s="7">
        <v>1000</v>
      </c>
      <c r="E172" s="7">
        <f t="shared" si="7"/>
        <v>3.4586588670535492</v>
      </c>
      <c r="F172" s="7">
        <f t="shared" si="7"/>
        <v>3.4586588670535492</v>
      </c>
      <c r="G172" s="7" t="str">
        <f t="shared" si="7"/>
        <v/>
      </c>
      <c r="H172" s="7" t="str">
        <f t="shared" si="7"/>
        <v/>
      </c>
      <c r="I172" s="7" t="str">
        <f t="shared" si="7"/>
        <v/>
      </c>
      <c r="J172" s="7" t="str">
        <f t="shared" si="7"/>
        <v/>
      </c>
      <c r="K172" s="7" t="str">
        <f t="shared" si="7"/>
        <v/>
      </c>
      <c r="L172" s="7" t="str">
        <f t="shared" si="7"/>
        <v/>
      </c>
      <c r="M172" s="7" t="str">
        <f t="shared" si="7"/>
        <v/>
      </c>
      <c r="N172" s="7" t="str">
        <f t="shared" si="7"/>
        <v/>
      </c>
      <c r="O172" s="7" t="str">
        <f t="shared" si="7"/>
        <v/>
      </c>
      <c r="P172" s="7">
        <f t="shared" si="8"/>
        <v>3.4586588670535492</v>
      </c>
    </row>
    <row r="173" spans="4:16" x14ac:dyDescent="0.3">
      <c r="D173" s="7">
        <v>2000</v>
      </c>
      <c r="E173" s="7">
        <f t="shared" si="7"/>
        <v>3.9267374444450631</v>
      </c>
      <c r="F173" s="7">
        <f t="shared" si="7"/>
        <v>3.9267374444450631</v>
      </c>
      <c r="G173" s="7" t="str">
        <f t="shared" si="7"/>
        <v/>
      </c>
      <c r="H173" s="7" t="str">
        <f t="shared" si="7"/>
        <v/>
      </c>
      <c r="I173" s="7" t="str">
        <f t="shared" si="7"/>
        <v/>
      </c>
      <c r="J173" s="7" t="str">
        <f t="shared" si="7"/>
        <v/>
      </c>
      <c r="K173" s="7" t="str">
        <f t="shared" si="7"/>
        <v/>
      </c>
      <c r="L173" s="7" t="str">
        <f t="shared" si="7"/>
        <v/>
      </c>
      <c r="M173" s="7" t="str">
        <f t="shared" si="7"/>
        <v/>
      </c>
      <c r="N173" s="7" t="str">
        <f t="shared" si="7"/>
        <v/>
      </c>
      <c r="O173" s="7" t="str">
        <f t="shared" si="7"/>
        <v/>
      </c>
      <c r="P173" s="7">
        <f t="shared" si="8"/>
        <v>3.9267374444450631</v>
      </c>
    </row>
    <row r="174" spans="4:16" x14ac:dyDescent="0.3">
      <c r="D174" s="7">
        <v>5000</v>
      </c>
      <c r="E174" s="7">
        <f t="shared" si="7"/>
        <v>3.99981840028095</v>
      </c>
      <c r="F174" s="7">
        <f t="shared" si="7"/>
        <v>3.99981840028095</v>
      </c>
      <c r="G174" s="7" t="str">
        <f t="shared" si="7"/>
        <v/>
      </c>
      <c r="H174" s="7" t="str">
        <f t="shared" si="7"/>
        <v/>
      </c>
      <c r="I174" s="7" t="str">
        <f t="shared" si="7"/>
        <v/>
      </c>
      <c r="J174" s="7" t="str">
        <f t="shared" si="7"/>
        <v/>
      </c>
      <c r="K174" s="7" t="str">
        <f t="shared" si="7"/>
        <v/>
      </c>
      <c r="L174" s="7" t="str">
        <f t="shared" si="7"/>
        <v/>
      </c>
      <c r="M174" s="7" t="str">
        <f t="shared" si="7"/>
        <v/>
      </c>
      <c r="N174" s="7" t="str">
        <f t="shared" si="7"/>
        <v/>
      </c>
      <c r="O174" s="7" t="str">
        <f t="shared" si="7"/>
        <v/>
      </c>
      <c r="P174" s="7">
        <f t="shared" si="8"/>
        <v>3.99981840028095</v>
      </c>
    </row>
    <row r="175" spans="4:16" x14ac:dyDescent="0.3">
      <c r="D175" s="7">
        <v>10000</v>
      </c>
      <c r="E175" s="7">
        <f t="shared" si="7"/>
        <v>3.9999999917553857</v>
      </c>
      <c r="F175" s="7">
        <f t="shared" si="7"/>
        <v>3.9999999917553857</v>
      </c>
      <c r="G175" s="7" t="str">
        <f t="shared" si="7"/>
        <v/>
      </c>
      <c r="H175" s="7" t="str">
        <f t="shared" si="7"/>
        <v/>
      </c>
      <c r="I175" s="7" t="str">
        <f t="shared" si="7"/>
        <v/>
      </c>
      <c r="J175" s="7" t="str">
        <f t="shared" si="7"/>
        <v/>
      </c>
      <c r="K175" s="7" t="str">
        <f t="shared" si="7"/>
        <v/>
      </c>
      <c r="L175" s="7" t="str">
        <f t="shared" si="7"/>
        <v/>
      </c>
      <c r="M175" s="7" t="str">
        <f t="shared" si="7"/>
        <v/>
      </c>
      <c r="N175" s="7" t="str">
        <f t="shared" si="7"/>
        <v/>
      </c>
      <c r="O175" s="7" t="str">
        <f t="shared" si="7"/>
        <v/>
      </c>
      <c r="P175" s="7">
        <f>SUM(F175:O175)</f>
        <v>3.9999999917553857</v>
      </c>
    </row>
    <row r="180" spans="4:16" x14ac:dyDescent="0.3">
      <c r="D180" t="s">
        <v>31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 t="s">
        <v>37</v>
      </c>
      <c r="K180" t="s">
        <v>38</v>
      </c>
      <c r="L180" t="s">
        <v>39</v>
      </c>
      <c r="M180" t="s">
        <v>40</v>
      </c>
      <c r="N180" t="s">
        <v>41</v>
      </c>
      <c r="O180" t="s">
        <v>42</v>
      </c>
      <c r="P180" t="s">
        <v>43</v>
      </c>
    </row>
    <row r="181" spans="4:16" x14ac:dyDescent="0.3">
      <c r="D181" s="7">
        <v>1E-3</v>
      </c>
      <c r="E181" s="7">
        <f>IFERROR(E$8*(1-EXP(-$D181/(E$8*E$9))),"")</f>
        <v>9.9999500001723973E-6</v>
      </c>
      <c r="F181" s="7">
        <f t="shared" ref="F181:O196" si="9">IFERROR(F$8*(1-EXP(-$D181/(F$8*F$9))),"")</f>
        <v>9.9999500001723973E-6</v>
      </c>
      <c r="G181" s="7" t="str">
        <f t="shared" si="9"/>
        <v/>
      </c>
      <c r="H181" s="7" t="str">
        <f t="shared" si="9"/>
        <v/>
      </c>
      <c r="I181" s="7" t="str">
        <f t="shared" si="9"/>
        <v/>
      </c>
      <c r="J181" s="7" t="str">
        <f t="shared" si="9"/>
        <v/>
      </c>
      <c r="K181" s="7" t="str">
        <f t="shared" si="9"/>
        <v/>
      </c>
      <c r="L181" s="7" t="str">
        <f t="shared" si="9"/>
        <v/>
      </c>
      <c r="M181" s="7" t="str">
        <f t="shared" si="9"/>
        <v/>
      </c>
      <c r="N181" s="7" t="str">
        <f t="shared" si="9"/>
        <v/>
      </c>
      <c r="O181" s="7" t="str">
        <f t="shared" si="9"/>
        <v/>
      </c>
      <c r="P181" s="7">
        <f>SUM(F181:O181)</f>
        <v>9.9999500001723973E-6</v>
      </c>
    </row>
    <row r="182" spans="4:16" x14ac:dyDescent="0.3">
      <c r="D182" s="7">
        <v>2E-3</v>
      </c>
      <c r="E182" s="7">
        <f t="shared" ref="E182:O202" si="10">IFERROR(E$8*(1-EXP(-$D182/(E$8*E$9))),"")</f>
        <v>1.9999800001335721E-5</v>
      </c>
      <c r="F182" s="7">
        <f t="shared" si="9"/>
        <v>1.9999800001335721E-5</v>
      </c>
      <c r="G182" s="7" t="str">
        <f t="shared" si="9"/>
        <v/>
      </c>
      <c r="H182" s="7" t="str">
        <f t="shared" si="9"/>
        <v/>
      </c>
      <c r="I182" s="7" t="str">
        <f t="shared" si="9"/>
        <v/>
      </c>
      <c r="J182" s="7" t="str">
        <f t="shared" si="9"/>
        <v/>
      </c>
      <c r="K182" s="7" t="str">
        <f t="shared" si="9"/>
        <v/>
      </c>
      <c r="L182" s="7" t="str">
        <f t="shared" si="9"/>
        <v/>
      </c>
      <c r="M182" s="7" t="str">
        <f t="shared" si="9"/>
        <v/>
      </c>
      <c r="N182" s="7" t="str">
        <f t="shared" si="9"/>
        <v/>
      </c>
      <c r="O182" s="7" t="str">
        <f t="shared" si="9"/>
        <v/>
      </c>
      <c r="P182" s="7">
        <f t="shared" ref="P182:P201" si="11">SUM(F182:O182)</f>
        <v>1.9999800001335721E-5</v>
      </c>
    </row>
    <row r="183" spans="4:16" x14ac:dyDescent="0.3">
      <c r="D183" s="7">
        <v>5.0000000000000001E-3</v>
      </c>
      <c r="E183" s="7">
        <f t="shared" si="10"/>
        <v>4.9998750020874283E-5</v>
      </c>
      <c r="F183" s="7">
        <f t="shared" si="9"/>
        <v>4.9998750020874283E-5</v>
      </c>
      <c r="G183" s="7" t="str">
        <f t="shared" si="9"/>
        <v/>
      </c>
      <c r="H183" s="7" t="str">
        <f t="shared" si="9"/>
        <v/>
      </c>
      <c r="I183" s="7" t="str">
        <f t="shared" si="9"/>
        <v/>
      </c>
      <c r="J183" s="7" t="str">
        <f t="shared" si="9"/>
        <v/>
      </c>
      <c r="K183" s="7" t="str">
        <f t="shared" si="9"/>
        <v/>
      </c>
      <c r="L183" s="7" t="str">
        <f t="shared" si="9"/>
        <v/>
      </c>
      <c r="M183" s="7" t="str">
        <f t="shared" si="9"/>
        <v/>
      </c>
      <c r="N183" s="7" t="str">
        <f t="shared" si="9"/>
        <v/>
      </c>
      <c r="O183" s="7" t="str">
        <f t="shared" si="9"/>
        <v/>
      </c>
      <c r="P183" s="7">
        <f t="shared" si="11"/>
        <v>4.9998750020874283E-5</v>
      </c>
    </row>
    <row r="184" spans="4:16" x14ac:dyDescent="0.3">
      <c r="D184" s="7">
        <v>0.01</v>
      </c>
      <c r="E184" s="7">
        <f t="shared" si="10"/>
        <v>9.999500016666385E-5</v>
      </c>
      <c r="F184" s="7">
        <f t="shared" si="9"/>
        <v>9.999500016666385E-5</v>
      </c>
      <c r="G184" s="7" t="str">
        <f t="shared" si="9"/>
        <v/>
      </c>
      <c r="H184" s="7" t="str">
        <f t="shared" si="9"/>
        <v/>
      </c>
      <c r="I184" s="7" t="str">
        <f t="shared" si="9"/>
        <v/>
      </c>
      <c r="J184" s="7" t="str">
        <f t="shared" si="9"/>
        <v/>
      </c>
      <c r="K184" s="7" t="str">
        <f t="shared" si="9"/>
        <v/>
      </c>
      <c r="L184" s="7" t="str">
        <f t="shared" si="9"/>
        <v/>
      </c>
      <c r="M184" s="7" t="str">
        <f t="shared" si="9"/>
        <v/>
      </c>
      <c r="N184" s="7" t="str">
        <f t="shared" si="9"/>
        <v/>
      </c>
      <c r="O184" s="7" t="str">
        <f t="shared" si="9"/>
        <v/>
      </c>
      <c r="P184" s="7">
        <f t="shared" si="11"/>
        <v>9.999500016666385E-5</v>
      </c>
    </row>
    <row r="185" spans="4:16" x14ac:dyDescent="0.3">
      <c r="D185" s="7">
        <v>0.02</v>
      </c>
      <c r="E185" s="7">
        <f t="shared" si="10"/>
        <v>1.9998000133325533E-4</v>
      </c>
      <c r="F185" s="7">
        <f t="shared" si="9"/>
        <v>1.9998000133325533E-4</v>
      </c>
      <c r="G185" s="7" t="str">
        <f t="shared" si="9"/>
        <v/>
      </c>
      <c r="H185" s="7" t="str">
        <f t="shared" si="9"/>
        <v/>
      </c>
      <c r="I185" s="7" t="str">
        <f t="shared" si="9"/>
        <v/>
      </c>
      <c r="J185" s="7" t="str">
        <f t="shared" si="9"/>
        <v/>
      </c>
      <c r="K185" s="7" t="str">
        <f t="shared" si="9"/>
        <v/>
      </c>
      <c r="L185" s="7" t="str">
        <f t="shared" si="9"/>
        <v/>
      </c>
      <c r="M185" s="7" t="str">
        <f t="shared" si="9"/>
        <v/>
      </c>
      <c r="N185" s="7" t="str">
        <f t="shared" si="9"/>
        <v/>
      </c>
      <c r="O185" s="7" t="str">
        <f t="shared" si="9"/>
        <v/>
      </c>
      <c r="P185" s="7">
        <f t="shared" si="11"/>
        <v>1.9998000133325533E-4</v>
      </c>
    </row>
    <row r="186" spans="4:16" x14ac:dyDescent="0.3">
      <c r="D186" s="7">
        <v>0.05</v>
      </c>
      <c r="E186" s="7">
        <f t="shared" si="10"/>
        <v>4.99875020830709E-4</v>
      </c>
      <c r="F186" s="7">
        <f t="shared" si="9"/>
        <v>4.99875020830709E-4</v>
      </c>
      <c r="G186" s="7" t="str">
        <f t="shared" si="9"/>
        <v/>
      </c>
      <c r="H186" s="7" t="str">
        <f t="shared" si="9"/>
        <v/>
      </c>
      <c r="I186" s="7" t="str">
        <f t="shared" si="9"/>
        <v/>
      </c>
      <c r="J186" s="7" t="str">
        <f t="shared" si="9"/>
        <v/>
      </c>
      <c r="K186" s="7" t="str">
        <f t="shared" si="9"/>
        <v/>
      </c>
      <c r="L186" s="7" t="str">
        <f t="shared" si="9"/>
        <v/>
      </c>
      <c r="M186" s="7" t="str">
        <f t="shared" si="9"/>
        <v/>
      </c>
      <c r="N186" s="7" t="str">
        <f t="shared" si="9"/>
        <v/>
      </c>
      <c r="O186" s="7" t="str">
        <f t="shared" si="9"/>
        <v/>
      </c>
      <c r="P186" s="7">
        <f t="shared" si="11"/>
        <v>4.99875020830709E-4</v>
      </c>
    </row>
    <row r="187" spans="4:16" x14ac:dyDescent="0.3">
      <c r="D187" s="7">
        <v>0.1</v>
      </c>
      <c r="E187" s="7">
        <f t="shared" si="10"/>
        <v>9.9950016662497809E-4</v>
      </c>
      <c r="F187" s="7">
        <f t="shared" si="9"/>
        <v>9.9950016662497809E-4</v>
      </c>
      <c r="G187" s="7" t="str">
        <f t="shared" si="9"/>
        <v/>
      </c>
      <c r="H187" s="7" t="str">
        <f t="shared" si="9"/>
        <v/>
      </c>
      <c r="I187" s="7" t="str">
        <f t="shared" si="9"/>
        <v/>
      </c>
      <c r="J187" s="7" t="str">
        <f t="shared" si="9"/>
        <v/>
      </c>
      <c r="K187" s="7" t="str">
        <f t="shared" si="9"/>
        <v/>
      </c>
      <c r="L187" s="7" t="str">
        <f t="shared" si="9"/>
        <v/>
      </c>
      <c r="M187" s="7" t="str">
        <f t="shared" si="9"/>
        <v/>
      </c>
      <c r="N187" s="7" t="str">
        <f t="shared" si="9"/>
        <v/>
      </c>
      <c r="O187" s="7" t="str">
        <f t="shared" si="9"/>
        <v/>
      </c>
      <c r="P187" s="7">
        <f t="shared" si="11"/>
        <v>9.9950016662497809E-4</v>
      </c>
    </row>
    <row r="188" spans="4:16" x14ac:dyDescent="0.3">
      <c r="D188" s="7">
        <v>0.2</v>
      </c>
      <c r="E188" s="7">
        <f t="shared" si="10"/>
        <v>1.998001332666921E-3</v>
      </c>
      <c r="F188" s="7">
        <f t="shared" si="9"/>
        <v>1.998001332666921E-3</v>
      </c>
      <c r="G188" s="7" t="str">
        <f t="shared" si="9"/>
        <v/>
      </c>
      <c r="H188" s="7" t="str">
        <f t="shared" si="9"/>
        <v/>
      </c>
      <c r="I188" s="7" t="str">
        <f t="shared" si="9"/>
        <v/>
      </c>
      <c r="J188" s="7" t="str">
        <f t="shared" si="9"/>
        <v/>
      </c>
      <c r="K188" s="7" t="str">
        <f t="shared" si="9"/>
        <v/>
      </c>
      <c r="L188" s="7" t="str">
        <f t="shared" si="9"/>
        <v/>
      </c>
      <c r="M188" s="7" t="str">
        <f t="shared" si="9"/>
        <v/>
      </c>
      <c r="N188" s="7" t="str">
        <f t="shared" si="9"/>
        <v/>
      </c>
      <c r="O188" s="7" t="str">
        <f t="shared" si="9"/>
        <v/>
      </c>
      <c r="P188" s="7">
        <f t="shared" si="11"/>
        <v>1.998001332666921E-3</v>
      </c>
    </row>
    <row r="189" spans="4:16" x14ac:dyDescent="0.3">
      <c r="D189" s="7">
        <v>0.5</v>
      </c>
      <c r="E189" s="7">
        <f t="shared" si="10"/>
        <v>4.9875208073176802E-3</v>
      </c>
      <c r="F189" s="7">
        <f t="shared" si="9"/>
        <v>4.9875208073176802E-3</v>
      </c>
      <c r="G189" s="7" t="str">
        <f t="shared" si="9"/>
        <v/>
      </c>
      <c r="H189" s="7" t="str">
        <f t="shared" si="9"/>
        <v/>
      </c>
      <c r="I189" s="7" t="str">
        <f t="shared" si="9"/>
        <v/>
      </c>
      <c r="J189" s="7" t="str">
        <f t="shared" si="9"/>
        <v/>
      </c>
      <c r="K189" s="7" t="str">
        <f t="shared" si="9"/>
        <v/>
      </c>
      <c r="L189" s="7" t="str">
        <f t="shared" si="9"/>
        <v/>
      </c>
      <c r="M189" s="7" t="str">
        <f t="shared" si="9"/>
        <v/>
      </c>
      <c r="N189" s="7" t="str">
        <f t="shared" si="9"/>
        <v/>
      </c>
      <c r="O189" s="7" t="str">
        <f t="shared" si="9"/>
        <v/>
      </c>
      <c r="P189" s="7">
        <f t="shared" si="11"/>
        <v>4.9875208073176802E-3</v>
      </c>
    </row>
    <row r="190" spans="4:16" x14ac:dyDescent="0.3">
      <c r="D190" s="7">
        <v>1</v>
      </c>
      <c r="E190" s="7">
        <f t="shared" si="10"/>
        <v>9.9501662508318933E-3</v>
      </c>
      <c r="F190" s="7">
        <f t="shared" si="9"/>
        <v>9.9501662508318933E-3</v>
      </c>
      <c r="G190" s="7" t="str">
        <f t="shared" si="9"/>
        <v/>
      </c>
      <c r="H190" s="7" t="str">
        <f t="shared" si="9"/>
        <v/>
      </c>
      <c r="I190" s="7" t="str">
        <f t="shared" si="9"/>
        <v/>
      </c>
      <c r="J190" s="7" t="str">
        <f t="shared" si="9"/>
        <v/>
      </c>
      <c r="K190" s="7" t="str">
        <f t="shared" si="9"/>
        <v/>
      </c>
      <c r="L190" s="7" t="str">
        <f t="shared" si="9"/>
        <v/>
      </c>
      <c r="M190" s="7" t="str">
        <f t="shared" si="9"/>
        <v/>
      </c>
      <c r="N190" s="7" t="str">
        <f t="shared" si="9"/>
        <v/>
      </c>
      <c r="O190" s="7" t="str">
        <f t="shared" si="9"/>
        <v/>
      </c>
      <c r="P190" s="7">
        <f t="shared" si="11"/>
        <v>9.9501662508318933E-3</v>
      </c>
    </row>
    <row r="191" spans="4:16" x14ac:dyDescent="0.3">
      <c r="D191" s="7">
        <v>2</v>
      </c>
      <c r="E191" s="7">
        <f t="shared" si="10"/>
        <v>1.9801326693244747E-2</v>
      </c>
      <c r="F191" s="7">
        <f t="shared" si="9"/>
        <v>1.9801326693244747E-2</v>
      </c>
      <c r="G191" s="7" t="str">
        <f t="shared" si="9"/>
        <v/>
      </c>
      <c r="H191" s="7" t="str">
        <f t="shared" si="9"/>
        <v/>
      </c>
      <c r="I191" s="7" t="str">
        <f t="shared" si="9"/>
        <v/>
      </c>
      <c r="J191" s="7" t="str">
        <f t="shared" si="9"/>
        <v/>
      </c>
      <c r="K191" s="7" t="str">
        <f t="shared" si="9"/>
        <v/>
      </c>
      <c r="L191" s="7" t="str">
        <f t="shared" si="9"/>
        <v/>
      </c>
      <c r="M191" s="7" t="str">
        <f t="shared" si="9"/>
        <v/>
      </c>
      <c r="N191" s="7" t="str">
        <f t="shared" si="9"/>
        <v/>
      </c>
      <c r="O191" s="7" t="str">
        <f t="shared" si="9"/>
        <v/>
      </c>
      <c r="P191" s="7">
        <f t="shared" si="11"/>
        <v>1.9801326693244747E-2</v>
      </c>
    </row>
    <row r="192" spans="4:16" x14ac:dyDescent="0.3">
      <c r="D192" s="7">
        <v>5</v>
      </c>
      <c r="E192" s="7">
        <f t="shared" si="10"/>
        <v>4.8770575499285984E-2</v>
      </c>
      <c r="F192" s="7">
        <f t="shared" si="9"/>
        <v>4.8770575499285984E-2</v>
      </c>
      <c r="G192" s="7" t="str">
        <f t="shared" si="9"/>
        <v/>
      </c>
      <c r="H192" s="7" t="str">
        <f t="shared" si="9"/>
        <v/>
      </c>
      <c r="I192" s="7" t="str">
        <f t="shared" si="9"/>
        <v/>
      </c>
      <c r="J192" s="7" t="str">
        <f t="shared" si="9"/>
        <v/>
      </c>
      <c r="K192" s="7" t="str">
        <f t="shared" si="9"/>
        <v/>
      </c>
      <c r="L192" s="7" t="str">
        <f t="shared" si="9"/>
        <v/>
      </c>
      <c r="M192" s="7" t="str">
        <f t="shared" si="9"/>
        <v/>
      </c>
      <c r="N192" s="7" t="str">
        <f t="shared" si="9"/>
        <v/>
      </c>
      <c r="O192" s="7" t="str">
        <f t="shared" si="9"/>
        <v/>
      </c>
      <c r="P192" s="7">
        <f t="shared" si="11"/>
        <v>4.8770575499285984E-2</v>
      </c>
    </row>
    <row r="193" spans="4:16" x14ac:dyDescent="0.3">
      <c r="D193" s="7">
        <v>10</v>
      </c>
      <c r="E193" s="7">
        <f t="shared" si="10"/>
        <v>9.5162581964040482E-2</v>
      </c>
      <c r="F193" s="7">
        <f t="shared" si="9"/>
        <v>9.5162581964040482E-2</v>
      </c>
      <c r="G193" s="7" t="str">
        <f t="shared" si="9"/>
        <v/>
      </c>
      <c r="H193" s="7" t="str">
        <f t="shared" si="9"/>
        <v/>
      </c>
      <c r="I193" s="7" t="str">
        <f t="shared" si="9"/>
        <v/>
      </c>
      <c r="J193" s="7" t="str">
        <f t="shared" si="9"/>
        <v/>
      </c>
      <c r="K193" s="7" t="str">
        <f t="shared" si="9"/>
        <v/>
      </c>
      <c r="L193" s="7" t="str">
        <f t="shared" si="9"/>
        <v/>
      </c>
      <c r="M193" s="7" t="str">
        <f t="shared" si="9"/>
        <v/>
      </c>
      <c r="N193" s="7" t="str">
        <f t="shared" si="9"/>
        <v/>
      </c>
      <c r="O193" s="7" t="str">
        <f t="shared" si="9"/>
        <v/>
      </c>
      <c r="P193" s="7">
        <f t="shared" si="11"/>
        <v>9.5162581964040482E-2</v>
      </c>
    </row>
    <row r="194" spans="4:16" x14ac:dyDescent="0.3">
      <c r="D194" s="7">
        <v>20</v>
      </c>
      <c r="E194" s="7">
        <f t="shared" si="10"/>
        <v>0.18126924692201818</v>
      </c>
      <c r="F194" s="7">
        <f t="shared" si="9"/>
        <v>0.18126924692201818</v>
      </c>
      <c r="G194" s="7" t="str">
        <f t="shared" si="9"/>
        <v/>
      </c>
      <c r="H194" s="7" t="str">
        <f t="shared" si="9"/>
        <v/>
      </c>
      <c r="I194" s="7" t="str">
        <f t="shared" si="9"/>
        <v/>
      </c>
      <c r="J194" s="7" t="str">
        <f t="shared" si="9"/>
        <v/>
      </c>
      <c r="K194" s="7" t="str">
        <f t="shared" si="9"/>
        <v/>
      </c>
      <c r="L194" s="7" t="str">
        <f t="shared" si="9"/>
        <v/>
      </c>
      <c r="M194" s="7" t="str">
        <f t="shared" si="9"/>
        <v/>
      </c>
      <c r="N194" s="7" t="str">
        <f t="shared" si="9"/>
        <v/>
      </c>
      <c r="O194" s="7" t="str">
        <f t="shared" si="9"/>
        <v/>
      </c>
      <c r="P194" s="7">
        <f t="shared" si="11"/>
        <v>0.18126924692201818</v>
      </c>
    </row>
    <row r="195" spans="4:16" x14ac:dyDescent="0.3">
      <c r="D195" s="7">
        <v>50</v>
      </c>
      <c r="E195" s="7">
        <f t="shared" si="10"/>
        <v>0.39346934028736658</v>
      </c>
      <c r="F195" s="7">
        <f t="shared" si="9"/>
        <v>0.39346934028736658</v>
      </c>
      <c r="G195" s="7" t="str">
        <f t="shared" si="9"/>
        <v/>
      </c>
      <c r="H195" s="7" t="str">
        <f t="shared" si="9"/>
        <v/>
      </c>
      <c r="I195" s="7" t="str">
        <f t="shared" si="9"/>
        <v/>
      </c>
      <c r="J195" s="7" t="str">
        <f t="shared" si="9"/>
        <v/>
      </c>
      <c r="K195" s="7" t="str">
        <f t="shared" si="9"/>
        <v/>
      </c>
      <c r="L195" s="7" t="str">
        <f t="shared" si="9"/>
        <v/>
      </c>
      <c r="M195" s="7" t="str">
        <f t="shared" si="9"/>
        <v/>
      </c>
      <c r="N195" s="7" t="str">
        <f t="shared" si="9"/>
        <v/>
      </c>
      <c r="O195" s="7" t="str">
        <f t="shared" si="9"/>
        <v/>
      </c>
      <c r="P195" s="7">
        <f t="shared" si="11"/>
        <v>0.39346934028736658</v>
      </c>
    </row>
    <row r="196" spans="4:16" x14ac:dyDescent="0.3">
      <c r="D196" s="7">
        <v>100</v>
      </c>
      <c r="E196" s="7">
        <f t="shared" si="10"/>
        <v>0.63212055882855767</v>
      </c>
      <c r="F196" s="7">
        <f t="shared" si="9"/>
        <v>0.63212055882855767</v>
      </c>
      <c r="G196" s="7" t="str">
        <f t="shared" si="9"/>
        <v/>
      </c>
      <c r="H196" s="7" t="str">
        <f t="shared" si="9"/>
        <v/>
      </c>
      <c r="I196" s="7" t="str">
        <f t="shared" si="9"/>
        <v/>
      </c>
      <c r="J196" s="7" t="str">
        <f t="shared" si="9"/>
        <v/>
      </c>
      <c r="K196" s="7" t="str">
        <f t="shared" si="9"/>
        <v/>
      </c>
      <c r="L196" s="7" t="str">
        <f t="shared" si="9"/>
        <v/>
      </c>
      <c r="M196" s="7" t="str">
        <f t="shared" si="9"/>
        <v/>
      </c>
      <c r="N196" s="7" t="str">
        <f t="shared" si="9"/>
        <v/>
      </c>
      <c r="O196" s="7" t="str">
        <f t="shared" si="9"/>
        <v/>
      </c>
      <c r="P196" s="7">
        <f t="shared" si="11"/>
        <v>0.63212055882855767</v>
      </c>
    </row>
    <row r="197" spans="4:16" x14ac:dyDescent="0.3">
      <c r="D197" s="7">
        <v>200</v>
      </c>
      <c r="E197" s="7">
        <f t="shared" si="10"/>
        <v>0.8646647167633873</v>
      </c>
      <c r="F197" s="7">
        <f t="shared" si="10"/>
        <v>0.8646647167633873</v>
      </c>
      <c r="G197" s="7" t="str">
        <f t="shared" si="10"/>
        <v/>
      </c>
      <c r="H197" s="7" t="str">
        <f t="shared" si="10"/>
        <v/>
      </c>
      <c r="I197" s="7" t="str">
        <f t="shared" si="10"/>
        <v/>
      </c>
      <c r="J197" s="7" t="str">
        <f t="shared" si="10"/>
        <v/>
      </c>
      <c r="K197" s="7" t="str">
        <f t="shared" si="10"/>
        <v/>
      </c>
      <c r="L197" s="7" t="str">
        <f t="shared" si="10"/>
        <v/>
      </c>
      <c r="M197" s="7" t="str">
        <f t="shared" si="10"/>
        <v/>
      </c>
      <c r="N197" s="7" t="str">
        <f t="shared" si="10"/>
        <v/>
      </c>
      <c r="O197" s="7" t="str">
        <f t="shared" si="10"/>
        <v/>
      </c>
      <c r="P197" s="7">
        <f t="shared" si="11"/>
        <v>0.8646647167633873</v>
      </c>
    </row>
    <row r="198" spans="4:16" x14ac:dyDescent="0.3">
      <c r="D198" s="7">
        <v>500</v>
      </c>
      <c r="E198" s="7">
        <f t="shared" si="10"/>
        <v>0.99326205300091452</v>
      </c>
      <c r="F198" s="7">
        <f t="shared" si="10"/>
        <v>0.99326205300091452</v>
      </c>
      <c r="G198" s="7" t="str">
        <f t="shared" si="10"/>
        <v/>
      </c>
      <c r="H198" s="7" t="str">
        <f t="shared" si="10"/>
        <v/>
      </c>
      <c r="I198" s="7" t="str">
        <f t="shared" si="10"/>
        <v/>
      </c>
      <c r="J198" s="7" t="str">
        <f t="shared" si="10"/>
        <v/>
      </c>
      <c r="K198" s="7" t="str">
        <f t="shared" si="10"/>
        <v/>
      </c>
      <c r="L198" s="7" t="str">
        <f t="shared" si="10"/>
        <v/>
      </c>
      <c r="M198" s="7" t="str">
        <f t="shared" si="10"/>
        <v/>
      </c>
      <c r="N198" s="7" t="str">
        <f t="shared" si="10"/>
        <v/>
      </c>
      <c r="O198" s="7" t="str">
        <f t="shared" si="10"/>
        <v/>
      </c>
      <c r="P198" s="7">
        <f t="shared" si="11"/>
        <v>0.99326205300091452</v>
      </c>
    </row>
    <row r="199" spans="4:16" x14ac:dyDescent="0.3">
      <c r="D199" s="7">
        <v>1000</v>
      </c>
      <c r="E199" s="7">
        <f t="shared" si="10"/>
        <v>0.99995460007023751</v>
      </c>
      <c r="F199" s="7">
        <f t="shared" si="10"/>
        <v>0.99995460007023751</v>
      </c>
      <c r="G199" s="7" t="str">
        <f t="shared" si="10"/>
        <v/>
      </c>
      <c r="H199" s="7" t="str">
        <f t="shared" si="10"/>
        <v/>
      </c>
      <c r="I199" s="7" t="str">
        <f t="shared" si="10"/>
        <v/>
      </c>
      <c r="J199" s="7" t="str">
        <f t="shared" si="10"/>
        <v/>
      </c>
      <c r="K199" s="7" t="str">
        <f t="shared" si="10"/>
        <v/>
      </c>
      <c r="L199" s="7" t="str">
        <f t="shared" si="10"/>
        <v/>
      </c>
      <c r="M199" s="7" t="str">
        <f t="shared" si="10"/>
        <v/>
      </c>
      <c r="N199" s="7" t="str">
        <f t="shared" si="10"/>
        <v/>
      </c>
      <c r="O199" s="7" t="str">
        <f t="shared" si="10"/>
        <v/>
      </c>
      <c r="P199" s="7">
        <f t="shared" si="11"/>
        <v>0.99995460007023751</v>
      </c>
    </row>
    <row r="200" spans="4:16" x14ac:dyDescent="0.3">
      <c r="D200" s="7">
        <v>2000</v>
      </c>
      <c r="E200" s="7">
        <f t="shared" si="10"/>
        <v>0.99999999793884642</v>
      </c>
      <c r="F200" s="7">
        <f t="shared" si="10"/>
        <v>0.99999999793884642</v>
      </c>
      <c r="G200" s="7" t="str">
        <f t="shared" si="10"/>
        <v/>
      </c>
      <c r="H200" s="7" t="str">
        <f t="shared" si="10"/>
        <v/>
      </c>
      <c r="I200" s="7" t="str">
        <f t="shared" si="10"/>
        <v/>
      </c>
      <c r="J200" s="7" t="str">
        <f t="shared" si="10"/>
        <v/>
      </c>
      <c r="K200" s="7" t="str">
        <f t="shared" si="10"/>
        <v/>
      </c>
      <c r="L200" s="7" t="str">
        <f t="shared" si="10"/>
        <v/>
      </c>
      <c r="M200" s="7" t="str">
        <f t="shared" si="10"/>
        <v/>
      </c>
      <c r="N200" s="7" t="str">
        <f t="shared" si="10"/>
        <v/>
      </c>
      <c r="O200" s="7" t="str">
        <f t="shared" si="10"/>
        <v/>
      </c>
      <c r="P200" s="7">
        <f t="shared" si="11"/>
        <v>0.99999999793884642</v>
      </c>
    </row>
    <row r="201" spans="4:16" x14ac:dyDescent="0.3">
      <c r="D201" s="7">
        <v>5000</v>
      </c>
      <c r="E201" s="7">
        <f t="shared" si="10"/>
        <v>1</v>
      </c>
      <c r="F201" s="7">
        <f t="shared" si="10"/>
        <v>1</v>
      </c>
      <c r="G201" s="7" t="str">
        <f t="shared" si="10"/>
        <v/>
      </c>
      <c r="H201" s="7" t="str">
        <f t="shared" si="10"/>
        <v/>
      </c>
      <c r="I201" s="7" t="str">
        <f t="shared" si="10"/>
        <v/>
      </c>
      <c r="J201" s="7" t="str">
        <f t="shared" si="10"/>
        <v/>
      </c>
      <c r="K201" s="7" t="str">
        <f t="shared" si="10"/>
        <v/>
      </c>
      <c r="L201" s="7" t="str">
        <f t="shared" si="10"/>
        <v/>
      </c>
      <c r="M201" s="7" t="str">
        <f t="shared" si="10"/>
        <v/>
      </c>
      <c r="N201" s="7" t="str">
        <f t="shared" si="10"/>
        <v/>
      </c>
      <c r="O201" s="7" t="str">
        <f t="shared" si="10"/>
        <v/>
      </c>
      <c r="P201" s="7">
        <f t="shared" si="11"/>
        <v>1</v>
      </c>
    </row>
    <row r="202" spans="4:16" x14ac:dyDescent="0.3">
      <c r="D202" s="7">
        <v>10000</v>
      </c>
      <c r="E202" s="7">
        <f t="shared" si="10"/>
        <v>1</v>
      </c>
      <c r="F202" s="7">
        <f t="shared" si="10"/>
        <v>1</v>
      </c>
      <c r="G202" s="7" t="str">
        <f t="shared" si="10"/>
        <v/>
      </c>
      <c r="H202" s="7" t="str">
        <f t="shared" si="10"/>
        <v/>
      </c>
      <c r="I202" s="7" t="str">
        <f t="shared" si="10"/>
        <v/>
      </c>
      <c r="J202" s="7" t="str">
        <f t="shared" si="10"/>
        <v/>
      </c>
      <c r="K202" s="7" t="str">
        <f t="shared" si="10"/>
        <v/>
      </c>
      <c r="L202" s="7" t="str">
        <f t="shared" si="10"/>
        <v/>
      </c>
      <c r="M202" s="7" t="str">
        <f t="shared" si="10"/>
        <v/>
      </c>
      <c r="N202" s="7" t="str">
        <f t="shared" si="10"/>
        <v/>
      </c>
      <c r="O202" s="7" t="str">
        <f t="shared" si="10"/>
        <v/>
      </c>
      <c r="P202" s="7">
        <f>SUM(F202:O202)</f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2026-02-08T14:01:44Z</dcterms:modified>
</cp:coreProperties>
</file>