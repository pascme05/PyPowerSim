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q634145\PycharmProjects\PyPowerSim\para\Tra\"/>
    </mc:Choice>
  </mc:AlternateContent>
  <xr:revisionPtr revIDLastSave="0" documentId="13_ncr:1_{BC7E0D5D-8652-49D9-A894-105B992A23F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readme" sheetId="1" r:id="rId1"/>
    <sheet name="electrical" sheetId="2" r:id="rId2"/>
    <sheet name="thermal" sheetId="3" r:id="rId3"/>
    <sheet name="statespa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2" l="1"/>
  <c r="J72" i="2"/>
  <c r="I72" i="2"/>
  <c r="H72" i="2"/>
  <c r="G72" i="2"/>
  <c r="F72" i="2"/>
  <c r="E72" i="2"/>
  <c r="D72" i="2"/>
  <c r="C72" i="2"/>
  <c r="B72" i="2"/>
  <c r="A82" i="2"/>
  <c r="A81" i="2"/>
  <c r="A80" i="2"/>
  <c r="A79" i="2"/>
  <c r="A78" i="2"/>
  <c r="A77" i="2"/>
  <c r="A76" i="2"/>
  <c r="A75" i="2"/>
  <c r="A74" i="2"/>
  <c r="A73" i="2"/>
  <c r="K52" i="2"/>
  <c r="J52" i="2"/>
  <c r="I52" i="2"/>
  <c r="H52" i="2"/>
  <c r="G52" i="2"/>
  <c r="F52" i="2"/>
  <c r="E52" i="2"/>
  <c r="D52" i="2"/>
  <c r="C52" i="2"/>
  <c r="B52" i="2"/>
  <c r="A62" i="2"/>
  <c r="A61" i="2"/>
  <c r="A60" i="2"/>
  <c r="A59" i="2"/>
  <c r="A58" i="2"/>
  <c r="A57" i="2"/>
  <c r="A56" i="2"/>
  <c r="A55" i="2"/>
  <c r="A54" i="2"/>
  <c r="A53" i="2"/>
  <c r="C32" i="2"/>
  <c r="D32" i="2"/>
  <c r="E32" i="2"/>
  <c r="F32" i="2"/>
  <c r="G32" i="2"/>
  <c r="H32" i="2"/>
  <c r="I32" i="2"/>
  <c r="J32" i="2"/>
  <c r="K32" i="2"/>
  <c r="B32" i="2"/>
  <c r="A42" i="2"/>
  <c r="A41" i="2"/>
  <c r="A40" i="2"/>
  <c r="A39" i="2"/>
  <c r="A38" i="2"/>
  <c r="A37" i="2"/>
  <c r="A36" i="2"/>
  <c r="A35" i="2"/>
  <c r="A34" i="2"/>
  <c r="A33" i="2"/>
  <c r="E128" i="3" l="1"/>
  <c r="F128" i="3"/>
  <c r="G128" i="3"/>
  <c r="H128" i="3"/>
  <c r="I128" i="3"/>
  <c r="J128" i="3"/>
  <c r="K128" i="3"/>
  <c r="L128" i="3"/>
  <c r="M128" i="3"/>
  <c r="N128" i="3"/>
  <c r="O128" i="3"/>
  <c r="E129" i="3"/>
  <c r="F129" i="3"/>
  <c r="G129" i="3"/>
  <c r="H129" i="3"/>
  <c r="I129" i="3"/>
  <c r="J129" i="3"/>
  <c r="K129" i="3"/>
  <c r="L129" i="3"/>
  <c r="M129" i="3"/>
  <c r="N129" i="3"/>
  <c r="O129" i="3"/>
  <c r="E130" i="3"/>
  <c r="F130" i="3"/>
  <c r="G130" i="3"/>
  <c r="H130" i="3"/>
  <c r="I130" i="3"/>
  <c r="J130" i="3"/>
  <c r="K130" i="3"/>
  <c r="L130" i="3"/>
  <c r="M130" i="3"/>
  <c r="N130" i="3"/>
  <c r="O130" i="3"/>
  <c r="E131" i="3"/>
  <c r="F131" i="3"/>
  <c r="G131" i="3"/>
  <c r="H131" i="3"/>
  <c r="I131" i="3"/>
  <c r="J131" i="3"/>
  <c r="K131" i="3"/>
  <c r="L131" i="3"/>
  <c r="M131" i="3"/>
  <c r="N131" i="3"/>
  <c r="O131" i="3"/>
  <c r="E132" i="3"/>
  <c r="F132" i="3"/>
  <c r="G132" i="3"/>
  <c r="H132" i="3"/>
  <c r="I132" i="3"/>
  <c r="J132" i="3"/>
  <c r="K132" i="3"/>
  <c r="L132" i="3"/>
  <c r="M132" i="3"/>
  <c r="N132" i="3"/>
  <c r="O132" i="3"/>
  <c r="E133" i="3"/>
  <c r="F133" i="3"/>
  <c r="G133" i="3"/>
  <c r="H133" i="3"/>
  <c r="I133" i="3"/>
  <c r="J133" i="3"/>
  <c r="K133" i="3"/>
  <c r="L133" i="3"/>
  <c r="M133" i="3"/>
  <c r="N133" i="3"/>
  <c r="O133" i="3"/>
  <c r="E134" i="3"/>
  <c r="F134" i="3"/>
  <c r="G134" i="3"/>
  <c r="H134" i="3"/>
  <c r="I134" i="3"/>
  <c r="J134" i="3"/>
  <c r="K134" i="3"/>
  <c r="L134" i="3"/>
  <c r="M134" i="3"/>
  <c r="N134" i="3"/>
  <c r="O134" i="3"/>
  <c r="E135" i="3"/>
  <c r="F135" i="3"/>
  <c r="G135" i="3"/>
  <c r="H135" i="3"/>
  <c r="I135" i="3"/>
  <c r="J135" i="3"/>
  <c r="K135" i="3"/>
  <c r="L135" i="3"/>
  <c r="M135" i="3"/>
  <c r="N135" i="3"/>
  <c r="O135" i="3"/>
  <c r="E136" i="3"/>
  <c r="F136" i="3"/>
  <c r="G136" i="3"/>
  <c r="H136" i="3"/>
  <c r="I136" i="3"/>
  <c r="J136" i="3"/>
  <c r="K136" i="3"/>
  <c r="L136" i="3"/>
  <c r="M136" i="3"/>
  <c r="N136" i="3"/>
  <c r="O136" i="3"/>
  <c r="E137" i="3"/>
  <c r="F137" i="3"/>
  <c r="G137" i="3"/>
  <c r="H137" i="3"/>
  <c r="I137" i="3"/>
  <c r="J137" i="3"/>
  <c r="K137" i="3"/>
  <c r="L137" i="3"/>
  <c r="M137" i="3"/>
  <c r="N137" i="3"/>
  <c r="O137" i="3"/>
  <c r="E138" i="3"/>
  <c r="F138" i="3"/>
  <c r="G138" i="3"/>
  <c r="H138" i="3"/>
  <c r="I138" i="3"/>
  <c r="J138" i="3"/>
  <c r="K138" i="3"/>
  <c r="L138" i="3"/>
  <c r="M138" i="3"/>
  <c r="N138" i="3"/>
  <c r="O138" i="3"/>
  <c r="E139" i="3"/>
  <c r="F139" i="3"/>
  <c r="G139" i="3"/>
  <c r="H139" i="3"/>
  <c r="I139" i="3"/>
  <c r="J139" i="3"/>
  <c r="K139" i="3"/>
  <c r="L139" i="3"/>
  <c r="M139" i="3"/>
  <c r="N139" i="3"/>
  <c r="O139" i="3"/>
  <c r="E140" i="3"/>
  <c r="F140" i="3"/>
  <c r="G140" i="3"/>
  <c r="H140" i="3"/>
  <c r="I140" i="3"/>
  <c r="J140" i="3"/>
  <c r="K140" i="3"/>
  <c r="L140" i="3"/>
  <c r="M140" i="3"/>
  <c r="N140" i="3"/>
  <c r="O140" i="3"/>
  <c r="E141" i="3"/>
  <c r="F141" i="3"/>
  <c r="G141" i="3"/>
  <c r="H141" i="3"/>
  <c r="I141" i="3"/>
  <c r="J141" i="3"/>
  <c r="K141" i="3"/>
  <c r="L141" i="3"/>
  <c r="M141" i="3"/>
  <c r="N141" i="3"/>
  <c r="O141" i="3"/>
  <c r="E142" i="3"/>
  <c r="F142" i="3"/>
  <c r="G142" i="3"/>
  <c r="H142" i="3"/>
  <c r="I142" i="3"/>
  <c r="J142" i="3"/>
  <c r="K142" i="3"/>
  <c r="L142" i="3"/>
  <c r="M142" i="3"/>
  <c r="N142" i="3"/>
  <c r="O142" i="3"/>
  <c r="E143" i="3"/>
  <c r="F143" i="3"/>
  <c r="G143" i="3"/>
  <c r="H143" i="3"/>
  <c r="I143" i="3"/>
  <c r="J143" i="3"/>
  <c r="K143" i="3"/>
  <c r="L143" i="3"/>
  <c r="M143" i="3"/>
  <c r="N143" i="3"/>
  <c r="O143" i="3"/>
  <c r="E144" i="3"/>
  <c r="F144" i="3"/>
  <c r="G144" i="3"/>
  <c r="H144" i="3"/>
  <c r="I144" i="3"/>
  <c r="J144" i="3"/>
  <c r="K144" i="3"/>
  <c r="L144" i="3"/>
  <c r="M144" i="3"/>
  <c r="N144" i="3"/>
  <c r="O144" i="3"/>
  <c r="E145" i="3"/>
  <c r="F145" i="3"/>
  <c r="G145" i="3"/>
  <c r="H145" i="3"/>
  <c r="I145" i="3"/>
  <c r="J145" i="3"/>
  <c r="K145" i="3"/>
  <c r="L145" i="3"/>
  <c r="M145" i="3"/>
  <c r="N145" i="3"/>
  <c r="O145" i="3"/>
  <c r="E146" i="3"/>
  <c r="F146" i="3"/>
  <c r="G146" i="3"/>
  <c r="H146" i="3"/>
  <c r="I146" i="3"/>
  <c r="J146" i="3"/>
  <c r="K146" i="3"/>
  <c r="L146" i="3"/>
  <c r="M146" i="3"/>
  <c r="N146" i="3"/>
  <c r="O146" i="3"/>
  <c r="E147" i="3"/>
  <c r="F147" i="3"/>
  <c r="G147" i="3"/>
  <c r="H147" i="3"/>
  <c r="I147" i="3"/>
  <c r="J147" i="3"/>
  <c r="K147" i="3"/>
  <c r="L147" i="3"/>
  <c r="M147" i="3"/>
  <c r="N147" i="3"/>
  <c r="O147" i="3"/>
  <c r="E148" i="3"/>
  <c r="F148" i="3"/>
  <c r="G148" i="3"/>
  <c r="H148" i="3"/>
  <c r="I148" i="3"/>
  <c r="J148" i="3"/>
  <c r="K148" i="3"/>
  <c r="L148" i="3"/>
  <c r="M148" i="3"/>
  <c r="N148" i="3"/>
  <c r="O148" i="3"/>
  <c r="F127" i="3"/>
  <c r="G127" i="3"/>
  <c r="H127" i="3"/>
  <c r="I127" i="3"/>
  <c r="J127" i="3"/>
  <c r="K127" i="3"/>
  <c r="L127" i="3"/>
  <c r="M127" i="3"/>
  <c r="N127" i="3"/>
  <c r="O127" i="3"/>
  <c r="E127" i="3"/>
  <c r="O121" i="3"/>
  <c r="N121" i="3"/>
  <c r="M121" i="3"/>
  <c r="L121" i="3"/>
  <c r="K121" i="3"/>
  <c r="J121" i="3"/>
  <c r="I121" i="3"/>
  <c r="H121" i="3"/>
  <c r="G121" i="3"/>
  <c r="F121" i="3"/>
  <c r="E121" i="3"/>
  <c r="O120" i="3"/>
  <c r="N120" i="3"/>
  <c r="M120" i="3"/>
  <c r="L120" i="3"/>
  <c r="K120" i="3"/>
  <c r="J120" i="3"/>
  <c r="I120" i="3"/>
  <c r="H120" i="3"/>
  <c r="G120" i="3"/>
  <c r="F120" i="3"/>
  <c r="E120" i="3"/>
  <c r="O119" i="3"/>
  <c r="N119" i="3"/>
  <c r="M119" i="3"/>
  <c r="L119" i="3"/>
  <c r="K119" i="3"/>
  <c r="J119" i="3"/>
  <c r="I119" i="3"/>
  <c r="H119" i="3"/>
  <c r="G119" i="3"/>
  <c r="F119" i="3"/>
  <c r="E119" i="3"/>
  <c r="O118" i="3"/>
  <c r="N118" i="3"/>
  <c r="M118" i="3"/>
  <c r="L118" i="3"/>
  <c r="K118" i="3"/>
  <c r="J118" i="3"/>
  <c r="I118" i="3"/>
  <c r="H118" i="3"/>
  <c r="G118" i="3"/>
  <c r="F118" i="3"/>
  <c r="E118" i="3"/>
  <c r="O117" i="3"/>
  <c r="N117" i="3"/>
  <c r="M117" i="3"/>
  <c r="L117" i="3"/>
  <c r="K117" i="3"/>
  <c r="J117" i="3"/>
  <c r="I117" i="3"/>
  <c r="H117" i="3"/>
  <c r="G117" i="3"/>
  <c r="F117" i="3"/>
  <c r="E117" i="3"/>
  <c r="O116" i="3"/>
  <c r="N116" i="3"/>
  <c r="M116" i="3"/>
  <c r="L116" i="3"/>
  <c r="K116" i="3"/>
  <c r="J116" i="3"/>
  <c r="I116" i="3"/>
  <c r="H116" i="3"/>
  <c r="G116" i="3"/>
  <c r="F116" i="3"/>
  <c r="E116" i="3"/>
  <c r="O115" i="3"/>
  <c r="N115" i="3"/>
  <c r="M115" i="3"/>
  <c r="L115" i="3"/>
  <c r="K115" i="3"/>
  <c r="J115" i="3"/>
  <c r="I115" i="3"/>
  <c r="H115" i="3"/>
  <c r="G115" i="3"/>
  <c r="F115" i="3"/>
  <c r="E115" i="3"/>
  <c r="O114" i="3"/>
  <c r="N114" i="3"/>
  <c r="M114" i="3"/>
  <c r="L114" i="3"/>
  <c r="K114" i="3"/>
  <c r="J114" i="3"/>
  <c r="I114" i="3"/>
  <c r="H114" i="3"/>
  <c r="G114" i="3"/>
  <c r="F114" i="3"/>
  <c r="E114" i="3"/>
  <c r="O113" i="3"/>
  <c r="N113" i="3"/>
  <c r="M113" i="3"/>
  <c r="L113" i="3"/>
  <c r="K113" i="3"/>
  <c r="J113" i="3"/>
  <c r="I113" i="3"/>
  <c r="H113" i="3"/>
  <c r="G113" i="3"/>
  <c r="F113" i="3"/>
  <c r="E113" i="3"/>
  <c r="O112" i="3"/>
  <c r="N112" i="3"/>
  <c r="M112" i="3"/>
  <c r="L112" i="3"/>
  <c r="K112" i="3"/>
  <c r="J112" i="3"/>
  <c r="I112" i="3"/>
  <c r="H112" i="3"/>
  <c r="G112" i="3"/>
  <c r="F112" i="3"/>
  <c r="E112" i="3"/>
  <c r="O111" i="3"/>
  <c r="N111" i="3"/>
  <c r="M111" i="3"/>
  <c r="L111" i="3"/>
  <c r="K111" i="3"/>
  <c r="J111" i="3"/>
  <c r="I111" i="3"/>
  <c r="H111" i="3"/>
  <c r="G111" i="3"/>
  <c r="F111" i="3"/>
  <c r="E111" i="3"/>
  <c r="O110" i="3"/>
  <c r="N110" i="3"/>
  <c r="M110" i="3"/>
  <c r="L110" i="3"/>
  <c r="K110" i="3"/>
  <c r="J110" i="3"/>
  <c r="I110" i="3"/>
  <c r="H110" i="3"/>
  <c r="G110" i="3"/>
  <c r="F110" i="3"/>
  <c r="E110" i="3"/>
  <c r="O109" i="3"/>
  <c r="N109" i="3"/>
  <c r="M109" i="3"/>
  <c r="L109" i="3"/>
  <c r="K109" i="3"/>
  <c r="J109" i="3"/>
  <c r="I109" i="3"/>
  <c r="H109" i="3"/>
  <c r="G109" i="3"/>
  <c r="F109" i="3"/>
  <c r="E109" i="3"/>
  <c r="O108" i="3"/>
  <c r="N108" i="3"/>
  <c r="M108" i="3"/>
  <c r="L108" i="3"/>
  <c r="K108" i="3"/>
  <c r="J108" i="3"/>
  <c r="I108" i="3"/>
  <c r="H108" i="3"/>
  <c r="G108" i="3"/>
  <c r="F108" i="3"/>
  <c r="E108" i="3"/>
  <c r="O107" i="3"/>
  <c r="N107" i="3"/>
  <c r="M107" i="3"/>
  <c r="L107" i="3"/>
  <c r="K107" i="3"/>
  <c r="J107" i="3"/>
  <c r="I107" i="3"/>
  <c r="H107" i="3"/>
  <c r="G107" i="3"/>
  <c r="F107" i="3"/>
  <c r="E107" i="3"/>
  <c r="O106" i="3"/>
  <c r="N106" i="3"/>
  <c r="M106" i="3"/>
  <c r="L106" i="3"/>
  <c r="K106" i="3"/>
  <c r="J106" i="3"/>
  <c r="I106" i="3"/>
  <c r="H106" i="3"/>
  <c r="G106" i="3"/>
  <c r="F106" i="3"/>
  <c r="E106" i="3"/>
  <c r="O105" i="3"/>
  <c r="N105" i="3"/>
  <c r="M105" i="3"/>
  <c r="L105" i="3"/>
  <c r="K105" i="3"/>
  <c r="J105" i="3"/>
  <c r="I105" i="3"/>
  <c r="H105" i="3"/>
  <c r="G105" i="3"/>
  <c r="F105" i="3"/>
  <c r="E105" i="3"/>
  <c r="O104" i="3"/>
  <c r="N104" i="3"/>
  <c r="M104" i="3"/>
  <c r="L104" i="3"/>
  <c r="K104" i="3"/>
  <c r="J104" i="3"/>
  <c r="I104" i="3"/>
  <c r="H104" i="3"/>
  <c r="G104" i="3"/>
  <c r="F104" i="3"/>
  <c r="E104" i="3"/>
  <c r="O103" i="3"/>
  <c r="N103" i="3"/>
  <c r="M103" i="3"/>
  <c r="L103" i="3"/>
  <c r="K103" i="3"/>
  <c r="J103" i="3"/>
  <c r="I103" i="3"/>
  <c r="H103" i="3"/>
  <c r="G103" i="3"/>
  <c r="F103" i="3"/>
  <c r="E103" i="3"/>
  <c r="O102" i="3"/>
  <c r="N102" i="3"/>
  <c r="M102" i="3"/>
  <c r="L102" i="3"/>
  <c r="K102" i="3"/>
  <c r="J102" i="3"/>
  <c r="I102" i="3"/>
  <c r="H102" i="3"/>
  <c r="G102" i="3"/>
  <c r="F102" i="3"/>
  <c r="E102" i="3"/>
  <c r="O101" i="3"/>
  <c r="N101" i="3"/>
  <c r="M101" i="3"/>
  <c r="L101" i="3"/>
  <c r="K101" i="3"/>
  <c r="J101" i="3"/>
  <c r="I101" i="3"/>
  <c r="H101" i="3"/>
  <c r="G101" i="3"/>
  <c r="F101" i="3"/>
  <c r="E101" i="3"/>
  <c r="O100" i="3"/>
  <c r="N100" i="3"/>
  <c r="M100" i="3"/>
  <c r="L100" i="3"/>
  <c r="K100" i="3"/>
  <c r="J100" i="3"/>
  <c r="I100" i="3"/>
  <c r="H100" i="3"/>
  <c r="G100" i="3"/>
  <c r="F100" i="3"/>
  <c r="E100" i="3"/>
  <c r="B92" i="2"/>
  <c r="C92" i="2"/>
  <c r="D92" i="2"/>
  <c r="E92" i="2"/>
  <c r="F92" i="2"/>
  <c r="G92" i="2"/>
  <c r="H92" i="2"/>
  <c r="I92" i="2"/>
  <c r="J92" i="2"/>
  <c r="K92" i="2"/>
  <c r="A93" i="2"/>
  <c r="A94" i="2"/>
  <c r="A95" i="2"/>
  <c r="A96" i="2"/>
  <c r="A97" i="2"/>
  <c r="A98" i="2"/>
  <c r="A99" i="2"/>
  <c r="A100" i="2"/>
  <c r="A101" i="2"/>
  <c r="A102" i="2"/>
  <c r="P146" i="3" l="1"/>
  <c r="P127" i="3"/>
  <c r="P140" i="3"/>
  <c r="P130" i="3"/>
  <c r="P114" i="3"/>
  <c r="P119" i="3"/>
  <c r="P135" i="3"/>
  <c r="P148" i="3"/>
  <c r="P132" i="3"/>
  <c r="P120" i="3"/>
  <c r="P110" i="3"/>
  <c r="P141" i="3"/>
  <c r="P103" i="3"/>
  <c r="P106" i="3"/>
  <c r="P109" i="3"/>
  <c r="P145" i="3"/>
  <c r="P129" i="3"/>
  <c r="P100" i="3"/>
  <c r="P142" i="3"/>
  <c r="P117" i="3"/>
  <c r="P112" i="3"/>
  <c r="P115" i="3"/>
  <c r="P139" i="3"/>
  <c r="P104" i="3"/>
  <c r="P113" i="3"/>
  <c r="P102" i="3"/>
  <c r="P118" i="3"/>
  <c r="P136" i="3"/>
  <c r="P101" i="3"/>
  <c r="P137" i="3"/>
  <c r="P105" i="3"/>
  <c r="P121" i="3"/>
  <c r="P133" i="3"/>
  <c r="P108" i="3"/>
  <c r="P111" i="3"/>
  <c r="P143" i="3"/>
  <c r="P134" i="3"/>
  <c r="P107" i="3"/>
  <c r="P147" i="3"/>
  <c r="P131" i="3"/>
  <c r="P144" i="3"/>
  <c r="P128" i="3"/>
  <c r="P116" i="3"/>
  <c r="P138" i="3"/>
</calcChain>
</file>

<file path=xl/sharedStrings.xml><?xml version="1.0" encoding="utf-8"?>
<sst xmlns="http://schemas.openxmlformats.org/spreadsheetml/2006/main" count="254" uniqueCount="171">
  <si>
    <t>Parameter</t>
  </si>
  <si>
    <t>Category</t>
  </si>
  <si>
    <t>Symbol</t>
  </si>
  <si>
    <t>Typical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</si>
  <si>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</si>
  <si>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</si>
  <si>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</si>
  <si>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</si>
  <si>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</si>
  <si>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</si>
  <si>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</si>
  <si>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</si>
  <si>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</si>
  <si>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</si>
  <si>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Unit</t>
  </si>
  <si>
    <t>General</t>
  </si>
  <si>
    <t>Ohm</t>
  </si>
  <si>
    <t>1D-Foster</t>
  </si>
  <si>
    <t>K/W</t>
  </si>
  <si>
    <t>Ws/K</t>
  </si>
  <si>
    <t>Tj (°C)</t>
  </si>
  <si>
    <t>f (Hz)</t>
  </si>
  <si>
    <t>Type</t>
  </si>
  <si>
    <t>Thermal resistance (CA)</t>
  </si>
  <si>
    <t>Rth_CA</t>
  </si>
  <si>
    <t>Thermal capacitance (CA)</t>
  </si>
  <si>
    <t>Cth_CA</t>
  </si>
  <si>
    <t>time (sec)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</si>
  <si>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</si>
  <si>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</si>
  <si>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</si>
  <si>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</si>
  <si>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</si>
  <si>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</si>
  <si>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</si>
  <si>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</si>
  <si>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</si>
  <si>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</si>
  <si>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Z_th_0</t>
  </si>
  <si>
    <t>Z_th</t>
  </si>
  <si>
    <t>Description</t>
  </si>
  <si>
    <t>Author</t>
  </si>
  <si>
    <t>Date</t>
  </si>
  <si>
    <t>Datasheet</t>
  </si>
  <si>
    <t>Value</t>
  </si>
  <si>
    <t>Model</t>
  </si>
  <si>
    <t>Max Mueller</t>
  </si>
  <si>
    <t>Transformer</t>
  </si>
  <si>
    <t>n1</t>
  </si>
  <si>
    <t>n2</t>
  </si>
  <si>
    <t>r1</t>
  </si>
  <si>
    <t>r2</t>
  </si>
  <si>
    <t>Rc1</t>
  </si>
  <si>
    <t>Rc2</t>
  </si>
  <si>
    <t>Ll1</t>
  </si>
  <si>
    <t>Ll2</t>
  </si>
  <si>
    <t>LM</t>
  </si>
  <si>
    <t>-</t>
  </si>
  <si>
    <t>H</t>
  </si>
  <si>
    <t>Number of transformer windings on the primary side</t>
  </si>
  <si>
    <t>Number of transformer windings on the secondary side</t>
  </si>
  <si>
    <t>Winding resistance on primary side</t>
  </si>
  <si>
    <t>Winding resistance on secondary side</t>
  </si>
  <si>
    <t>Parallel resistance to model core losses on primary side</t>
  </si>
  <si>
    <t>Parallel resistance to model core losses on secondary side</t>
  </si>
  <si>
    <t>Leakage inductance on primary side</t>
  </si>
  <si>
    <t>Leakage inductance on secondary side</t>
  </si>
  <si>
    <t>Magetizing inductance (primary reflected)</t>
  </si>
  <si>
    <t>Number of windings (primary)</t>
  </si>
  <si>
    <t>Number of windings (secondary)</t>
  </si>
  <si>
    <t>Winding resistance (secondary)</t>
  </si>
  <si>
    <t>Core loss resistance (primary)</t>
  </si>
  <si>
    <t>Core loss resistance (secondary)</t>
  </si>
  <si>
    <t>Leakage inductance (primary)</t>
  </si>
  <si>
    <t>Leakage inductance (secondary)</t>
  </si>
  <si>
    <t>Magnetizing inductance</t>
  </si>
  <si>
    <t>Effective flux area of core</t>
  </si>
  <si>
    <t>Ae</t>
  </si>
  <si>
    <t>Effective flux volume of core</t>
  </si>
  <si>
    <t>Effective flux area of the transformer core</t>
  </si>
  <si>
    <t>Effective flux volume of the transformer core</t>
  </si>
  <si>
    <t>Ve</t>
  </si>
  <si>
    <t>Steinmetz Parameter alpha</t>
  </si>
  <si>
    <t>Temperature core</t>
  </si>
  <si>
    <t>Temperature of the core</t>
  </si>
  <si>
    <t>T_c</t>
  </si>
  <si>
    <t>Frequency</t>
  </si>
  <si>
    <t>f</t>
  </si>
  <si>
    <t>Steinmetz Parameter beta</t>
  </si>
  <si>
    <t>Losses Pvsin in kW/m3 for calculation of Steinmetz k</t>
  </si>
  <si>
    <t>m2</t>
  </si>
  <si>
    <t>m3</t>
  </si>
  <si>
    <t>°C</t>
  </si>
  <si>
    <t>Hz</t>
  </si>
  <si>
    <t>Steinmetz alpha</t>
  </si>
  <si>
    <t>Steinmetz beta</t>
  </si>
  <si>
    <t>Steinmetz Pvsin</t>
  </si>
  <si>
    <t>Losses</t>
  </si>
  <si>
    <t>alpha</t>
  </si>
  <si>
    <t>beta</t>
  </si>
  <si>
    <t>Pvsin</t>
  </si>
  <si>
    <t>w_c</t>
  </si>
  <si>
    <t>h_c</t>
  </si>
  <si>
    <t>Conducting width</t>
  </si>
  <si>
    <t>Width of conductor winding for rectangular conductor</t>
  </si>
  <si>
    <t>Conducting height</t>
  </si>
  <si>
    <t>Height of conductor winding for rectangular conductor</t>
  </si>
  <si>
    <t>Type of transformer winding (RND = round, REC = rectangular)</t>
  </si>
  <si>
    <t>type_c</t>
  </si>
  <si>
    <t>Type of conductor</t>
  </si>
  <si>
    <t>m</t>
  </si>
  <si>
    <t>Frequency vector for parameter tables</t>
  </si>
  <si>
    <t>Steinmetz parameter</t>
  </si>
  <si>
    <t>Network of resistive foster coefficients between transformer core and coolant</t>
  </si>
  <si>
    <t>Network of capacitive foster coefficients between transformer core and coolant</t>
  </si>
  <si>
    <r>
      <t xml:space="preserve">Network of resistive foster coefficients between transformer </t>
    </r>
    <r>
      <rPr>
        <b/>
        <sz val="11"/>
        <color theme="1"/>
        <rFont val="Calibri"/>
        <family val="2"/>
        <scheme val="minor"/>
      </rPr>
      <t>primary windings</t>
    </r>
    <r>
      <rPr>
        <sz val="11"/>
        <color theme="1"/>
        <rFont val="Calibri"/>
        <family val="2"/>
        <scheme val="minor"/>
      </rPr>
      <t xml:space="preserve"> and coolant</t>
    </r>
  </si>
  <si>
    <r>
      <t xml:space="preserve">Network of capacitive foster coefficients between transformer </t>
    </r>
    <r>
      <rPr>
        <b/>
        <sz val="11"/>
        <color theme="1"/>
        <rFont val="Calibri"/>
        <family val="2"/>
        <scheme val="minor"/>
      </rPr>
      <t>primary windings</t>
    </r>
    <r>
      <rPr>
        <sz val="11"/>
        <color theme="1"/>
        <rFont val="Calibri"/>
        <family val="2"/>
        <scheme val="minor"/>
      </rPr>
      <t xml:space="preserve"> and coolant</t>
    </r>
  </si>
  <si>
    <r>
      <t xml:space="preserve">Network of resistive foster coefficients between transformer </t>
    </r>
    <r>
      <rPr>
        <b/>
        <sz val="11"/>
        <color theme="1"/>
        <rFont val="Calibri"/>
        <family val="2"/>
        <scheme val="minor"/>
      </rPr>
      <t>secondary windings</t>
    </r>
    <r>
      <rPr>
        <sz val="11"/>
        <color theme="1"/>
        <rFont val="Calibri"/>
        <family val="2"/>
        <scheme val="minor"/>
      </rPr>
      <t xml:space="preserve"> and coolant</t>
    </r>
  </si>
  <si>
    <r>
      <t xml:space="preserve">Network of capacitive foster coefficients between transformer </t>
    </r>
    <r>
      <rPr>
        <b/>
        <sz val="11"/>
        <color theme="1"/>
        <rFont val="Calibri"/>
        <family val="2"/>
        <scheme val="minor"/>
      </rPr>
      <t>secondary windings</t>
    </r>
    <r>
      <rPr>
        <sz val="11"/>
        <color theme="1"/>
        <rFont val="Calibri"/>
        <family val="2"/>
        <scheme val="minor"/>
      </rPr>
      <t xml:space="preserve"> and coolant</t>
    </r>
  </si>
  <si>
    <t>Rth_PA</t>
  </si>
  <si>
    <t>Cth_PA</t>
  </si>
  <si>
    <t>Rth_SA</t>
  </si>
  <si>
    <t>Cth_SA</t>
  </si>
  <si>
    <t>Thermal resistance (PA)</t>
  </si>
  <si>
    <t>Thermal capacitance (PA)</t>
  </si>
  <si>
    <t>Thermal resistance (SA)</t>
  </si>
  <si>
    <t>Thermal capacitance (SA)</t>
  </si>
  <si>
    <t>Conducting diameter</t>
  </si>
  <si>
    <t>d_c</t>
  </si>
  <si>
    <t>Number of conductors</t>
  </si>
  <si>
    <t>Number of conductors or strands (e.g. Litz wire)</t>
  </si>
  <si>
    <t>N_c</t>
  </si>
  <si>
    <t>Outer diameter</t>
  </si>
  <si>
    <t>Diameter of the conducting wire (ind. Strand) for round conductor</t>
  </si>
  <si>
    <t>Outer diameter of wire</t>
  </si>
  <si>
    <t>d_c_o</t>
  </si>
  <si>
    <t>REC</t>
  </si>
  <si>
    <t>Winding resistance (primary)</t>
  </si>
  <si>
    <t>Outputs:</t>
  </si>
  <si>
    <t>v2</t>
  </si>
  <si>
    <t>iw1</t>
  </si>
  <si>
    <t>iw2</t>
  </si>
  <si>
    <t>Matrix A</t>
  </si>
  <si>
    <t>Matrix C</t>
  </si>
  <si>
    <t>Input:</t>
  </si>
  <si>
    <t>v1</t>
  </si>
  <si>
    <t>Vector B</t>
  </si>
  <si>
    <t>Vector D</t>
  </si>
  <si>
    <t>i1</t>
  </si>
  <si>
    <t>i2</t>
  </si>
  <si>
    <t>vw1</t>
  </si>
  <si>
    <t>Transformer: external ports state-space-model import</t>
  </si>
  <si>
    <t>Transformer: internal winding characteristics state-space-model import</t>
  </si>
  <si>
    <t>for calculation of B</t>
  </si>
  <si>
    <t>for calculation of primary winding losses</t>
  </si>
  <si>
    <t>for calculation of secondary winding losses</t>
  </si>
  <si>
    <t>Loss coupling (core)</t>
  </si>
  <si>
    <t>Weighted losses for thermal coupling:  primary losses --&gt; core temperature</t>
  </si>
  <si>
    <t>w_pL_PC</t>
  </si>
  <si>
    <t>Weighted losses for thermal coupling:  secondary losses --&gt; core temperature</t>
  </si>
  <si>
    <t>w_pL_SC</t>
  </si>
  <si>
    <t>Loss coupling (primary)</t>
  </si>
  <si>
    <t>Weighted losses for thermal coupling:  core losses --&gt; primary temperature</t>
  </si>
  <si>
    <t>Weighted losses for thermal coupling:  secondary losses --&gt; primary temperature</t>
  </si>
  <si>
    <t>w_pL_CP</t>
  </si>
  <si>
    <t>w_pL_SP</t>
  </si>
  <si>
    <t>Loss coupling (secondary)</t>
  </si>
  <si>
    <t>Weighted losses for thermal coupling:  core losses --&gt; secondary temperature</t>
  </si>
  <si>
    <t>Weighted losses for thermal coupling:  primary losses --&gt; secondary temperature</t>
  </si>
  <si>
    <t>w_pL_CS</t>
  </si>
  <si>
    <t>w_pL_PS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</si>
</sst>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11" fontId="0" fillId="0" borderId="0" xfId="0" applyNumberFormat="1"/>
    <xf numFmtId="11" fontId="1" fillId="0" borderId="0" xfId="0" applyNumberFormat="1" applyFont="1"/>
    <xf numFmtId="11" fontId="1" fillId="0" borderId="7" xfId="0" applyNumberFormat="1" applyFont="1" applyBorder="1"/>
    <xf numFmtId="0" fontId="0" fillId="0" borderId="9" xfId="0" applyBorder="1"/>
    <xf numFmtId="0" fontId="0" fillId="0" borderId="10" xfId="0" applyBorder="1"/>
    <xf numFmtId="11" fontId="1" fillId="0" borderId="10" xfId="0" applyNumberFormat="1" applyFont="1" applyBorder="1"/>
    <xf numFmtId="11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1" fontId="0" fillId="0" borderId="14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0" fontId="0" fillId="0" borderId="15" xfId="0" applyBorder="1"/>
    <xf numFmtId="0" fontId="1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2" fontId="1" fillId="0" borderId="24" xfId="0" applyNumberFormat="1" applyFont="1" applyBorder="1"/>
    <xf numFmtId="2" fontId="1" fillId="0" borderId="25" xfId="0" applyNumberFormat="1" applyFont="1" applyBorder="1"/>
    <xf numFmtId="2" fontId="1" fillId="0" borderId="19" xfId="0" applyNumberFormat="1" applyFont="1" applyBorder="1"/>
    <xf numFmtId="11" fontId="0" fillId="0" borderId="9" xfId="0" applyNumberFormat="1" applyBorder="1"/>
    <xf numFmtId="2" fontId="1" fillId="0" borderId="26" xfId="0" applyNumberFormat="1" applyFont="1" applyBorder="1"/>
    <xf numFmtId="11" fontId="0" fillId="0" borderId="15" xfId="0" applyNumberFormat="1" applyBorder="1"/>
    <xf numFmtId="0" fontId="1" fillId="0" borderId="0" xfId="0" applyFont="1"/>
    <xf numFmtId="14" fontId="0" fillId="0" borderId="0" xfId="0" applyNumberFormat="1"/>
    <xf numFmtId="0" fontId="3" fillId="0" borderId="0" xfId="1"/>
    <xf numFmtId="0" fontId="1" fillId="0" borderId="24" xfId="0" applyFont="1" applyBorder="1"/>
    <xf numFmtId="0" fontId="1" fillId="0" borderId="6" xfId="0" applyFont="1" applyBorder="1"/>
    <xf numFmtId="0" fontId="0" fillId="0" borderId="0" xfId="0" applyBorder="1"/>
    <xf numFmtId="11" fontId="0" fillId="0" borderId="0" xfId="0" applyNumberFormat="1" applyBorder="1"/>
    <xf numFmtId="11" fontId="1" fillId="0" borderId="0" xfId="0" applyNumberFormat="1" applyFont="1" applyBorder="1"/>
    <xf numFmtId="0" fontId="1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1" fontId="0" fillId="0" borderId="0" xfId="0" applyNumberFormat="1" applyFill="1" applyBorder="1"/>
    <xf numFmtId="11" fontId="1" fillId="0" borderId="0" xfId="0" applyNumberFormat="1" applyFont="1" applyFill="1" applyBorder="1"/>
    <xf numFmtId="0" fontId="0" fillId="0" borderId="28" xfId="0" applyFill="1" applyBorder="1" applyAlignment="1">
      <alignment horizontal="center" vertical="center"/>
    </xf>
    <xf numFmtId="11" fontId="0" fillId="0" borderId="8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2" fontId="1" fillId="0" borderId="30" xfId="0" applyNumberFormat="1" applyFont="1" applyBorder="1"/>
    <xf numFmtId="11" fontId="0" fillId="0" borderId="31" xfId="0" applyNumberFormat="1" applyBorder="1"/>
    <xf numFmtId="11" fontId="0" fillId="0" borderId="0" xfId="0" applyNumberFormat="1" applyFont="1"/>
    <xf numFmtId="0" fontId="0" fillId="0" borderId="28" xfId="0" applyBorder="1" applyAlignment="1">
      <alignment horizontal="center"/>
    </xf>
    <xf numFmtId="0" fontId="1" fillId="0" borderId="6" xfId="0" applyFont="1" applyFill="1" applyBorder="1"/>
    <xf numFmtId="0" fontId="0" fillId="0" borderId="28" xfId="0" applyBorder="1" applyAlignment="1">
      <alignment horizontal="center" vertical="center"/>
    </xf>
    <xf numFmtId="11" fontId="0" fillId="0" borderId="8" xfId="0" applyNumberFormat="1" applyBorder="1" applyAlignment="1">
      <alignment horizontal="center"/>
    </xf>
    <xf numFmtId="11" fontId="0" fillId="0" borderId="32" xfId="0" applyNumberFormat="1" applyBorder="1"/>
    <xf numFmtId="11" fontId="0" fillId="0" borderId="33" xfId="0" applyNumberFormat="1" applyBorder="1"/>
    <xf numFmtId="11" fontId="0" fillId="0" borderId="34" xfId="0" applyNumberFormat="1" applyBorder="1"/>
    <xf numFmtId="11" fontId="0" fillId="0" borderId="6" xfId="0" applyNumberFormat="1" applyBorder="1"/>
    <xf numFmtId="11" fontId="0" fillId="0" borderId="11" xfId="0" applyNumberForma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3" xfId="0" applyBorder="1"/>
    <xf numFmtId="0" fontId="0" fillId="0" borderId="34" xfId="0" applyBorder="1"/>
    <xf numFmtId="0" fontId="1" fillId="2" borderId="0" xfId="0" applyFont="1" applyFill="1"/>
    <xf numFmtId="0" fontId="0" fillId="2" borderId="0" xfId="0" applyFill="1"/>
    <xf numFmtId="11" fontId="0" fillId="0" borderId="35" xfId="0" applyNumberFormat="1" applyBorder="1"/>
    <xf numFmtId="11" fontId="0" fillId="0" borderId="36" xfId="0" applyNumberForma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Steinmetz Parameter</a:t>
            </a:r>
            <a:r>
              <a:rPr lang="de-DE" baseline="0"/>
              <a:t> alpha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electrical!$B$32</c:f>
              <c:strCache>
                <c:ptCount val="1"/>
                <c:pt idx="0">
                  <c:v>40,00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electrical!$B$33:$B$42</c:f>
              <c:numCache>
                <c:formatCode>0.00E+00</c:formatCode>
                <c:ptCount val="10"/>
                <c:pt idx="0">
                  <c:v>1.3053999999999999</c:v>
                </c:pt>
                <c:pt idx="1">
                  <c:v>1.3053999999999999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4E-45B5-8815-A85BB97D09D5}"/>
            </c:ext>
          </c:extLst>
        </c:ser>
        <c:ser>
          <c:idx val="1"/>
          <c:order val="1"/>
          <c:tx>
            <c:strRef>
              <c:f>electrical!$C$32</c:f>
              <c:strCache>
                <c:ptCount val="1"/>
                <c:pt idx="0">
                  <c:v>50,00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electrical!$C$33:$C$42</c:f>
              <c:numCache>
                <c:formatCode>0.00E+00</c:formatCode>
                <c:ptCount val="10"/>
                <c:pt idx="0">
                  <c:v>1.3394999999999999</c:v>
                </c:pt>
                <c:pt idx="1">
                  <c:v>1.3394999999999999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4E-45B5-8815-A85BB97D09D5}"/>
            </c:ext>
          </c:extLst>
        </c:ser>
        <c:ser>
          <c:idx val="2"/>
          <c:order val="2"/>
          <c:tx>
            <c:strRef>
              <c:f>electrical!$D$32</c:f>
              <c:strCache>
                <c:ptCount val="1"/>
                <c:pt idx="0">
                  <c:v>60,00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electrical!$D$33:$D$42</c:f>
              <c:numCache>
                <c:formatCode>0.00E+00</c:formatCode>
                <c:ptCount val="10"/>
                <c:pt idx="0">
                  <c:v>1.3805000000000001</c:v>
                </c:pt>
                <c:pt idx="1">
                  <c:v>1.3805000000000001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4E-45B5-8815-A85BB97D09D5}"/>
            </c:ext>
          </c:extLst>
        </c:ser>
        <c:ser>
          <c:idx val="3"/>
          <c:order val="3"/>
          <c:tx>
            <c:strRef>
              <c:f>electrical!$E$32</c:f>
              <c:strCache>
                <c:ptCount val="1"/>
                <c:pt idx="0">
                  <c:v>70,00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electrical!$E$33:$E$42</c:f>
              <c:numCache>
                <c:formatCode>0.00E+00</c:formatCode>
                <c:ptCount val="10"/>
                <c:pt idx="0">
                  <c:v>1.4061999999999999</c:v>
                </c:pt>
                <c:pt idx="1">
                  <c:v>1.4061999999999999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4E-45B5-8815-A85BB97D09D5}"/>
            </c:ext>
          </c:extLst>
        </c:ser>
        <c:ser>
          <c:idx val="4"/>
          <c:order val="4"/>
          <c:tx>
            <c:strRef>
              <c:f>electrical!$F$32</c:f>
              <c:strCache>
                <c:ptCount val="1"/>
                <c:pt idx="0">
                  <c:v>80,00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electrical!$F$33:$F$42</c:f>
              <c:numCache>
                <c:formatCode>0.00E+00</c:formatCode>
                <c:ptCount val="10"/>
                <c:pt idx="0">
                  <c:v>1.4457</c:v>
                </c:pt>
                <c:pt idx="1">
                  <c:v>1.4457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4E-45B5-8815-A85BB97D09D5}"/>
            </c:ext>
          </c:extLst>
        </c:ser>
        <c:ser>
          <c:idx val="5"/>
          <c:order val="5"/>
          <c:tx>
            <c:strRef>
              <c:f>electrical!$G$32</c:f>
              <c:strCache>
                <c:ptCount val="1"/>
                <c:pt idx="0">
                  <c:v>90,00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electrical!$G$33:$G$42</c:f>
              <c:numCache>
                <c:formatCode>0.00E+00</c:formatCode>
                <c:ptCount val="10"/>
                <c:pt idx="0">
                  <c:v>1.4770000000000001</c:v>
                </c:pt>
                <c:pt idx="1">
                  <c:v>1.4770000000000001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4E-45B5-8815-A85BB97D09D5}"/>
            </c:ext>
          </c:extLst>
        </c:ser>
        <c:ser>
          <c:idx val="6"/>
          <c:order val="6"/>
          <c:tx>
            <c:strRef>
              <c:f>electrical!$H$32</c:f>
              <c:strCache>
                <c:ptCount val="1"/>
                <c:pt idx="0">
                  <c:v>100,00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electrical!$H$33:$H$42</c:f>
              <c:numCache>
                <c:formatCode>0.00E+00</c:formatCode>
                <c:ptCount val="10"/>
                <c:pt idx="0">
                  <c:v>1.5184</c:v>
                </c:pt>
                <c:pt idx="1">
                  <c:v>1.5184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4E-45B5-8815-A85BB97D09D5}"/>
            </c:ext>
          </c:extLst>
        </c:ser>
        <c:ser>
          <c:idx val="7"/>
          <c:order val="7"/>
          <c:tx>
            <c:strRef>
              <c:f>electrical!$I$32</c:f>
              <c:strCache>
                <c:ptCount val="1"/>
                <c:pt idx="0">
                  <c:v>110,00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electrical!$I$33:$I$42</c:f>
              <c:numCache>
                <c:formatCode>0.00E+00</c:formatCode>
                <c:ptCount val="10"/>
                <c:pt idx="0">
                  <c:v>1.5510999999999999</c:v>
                </c:pt>
                <c:pt idx="1">
                  <c:v>1.5510999999999999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94E-45B5-8815-A85BB97D09D5}"/>
            </c:ext>
          </c:extLst>
        </c:ser>
        <c:ser>
          <c:idx val="8"/>
          <c:order val="8"/>
          <c:tx>
            <c:strRef>
              <c:f>electrical!$J$32</c:f>
              <c:strCache>
                <c:ptCount val="1"/>
                <c:pt idx="0">
                  <c:v>120,00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electrical!$J$33:$J$42</c:f>
              <c:numCache>
                <c:formatCode>0.00E+00</c:formatCode>
                <c:ptCount val="10"/>
                <c:pt idx="0">
                  <c:v>1.5638000000000001</c:v>
                </c:pt>
                <c:pt idx="1">
                  <c:v>1.5638000000000001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94E-45B5-8815-A85BB97D09D5}"/>
            </c:ext>
          </c:extLst>
        </c:ser>
        <c:ser>
          <c:idx val="9"/>
          <c:order val="9"/>
          <c:tx>
            <c:strRef>
              <c:f>electrical!$K$32</c:f>
              <c:strCache>
                <c:ptCount val="1"/>
                <c:pt idx="0">
                  <c:v>0,00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electrical!$K$33:$K$42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94E-45B5-8815-A85BB97D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Steinmetz Parameter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electrical!$B$52</c:f>
              <c:strCache>
                <c:ptCount val="1"/>
                <c:pt idx="0">
                  <c:v>40.00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electrical!$B$53:$B$62</c:f>
              <c:numCache>
                <c:formatCode>0.00E+00</c:formatCode>
                <c:ptCount val="10"/>
                <c:pt idx="0">
                  <c:v>2.5003000000000002</c:v>
                </c:pt>
                <c:pt idx="1">
                  <c:v>2.4641000000000002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6-44D9-934E-A172A41A82CD}"/>
            </c:ext>
          </c:extLst>
        </c:ser>
        <c:ser>
          <c:idx val="1"/>
          <c:order val="1"/>
          <c:tx>
            <c:strRef>
              <c:f>electrical!$C$52</c:f>
              <c:strCache>
                <c:ptCount val="1"/>
                <c:pt idx="0">
                  <c:v>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electrical!$C$53:$C$62</c:f>
              <c:numCache>
                <c:formatCode>0.00E+00</c:formatCode>
                <c:ptCount val="10"/>
                <c:pt idx="0">
                  <c:v>2.5480999999999998</c:v>
                </c:pt>
                <c:pt idx="1">
                  <c:v>2.4980000000000002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D6-44D9-934E-A172A41A82CD}"/>
            </c:ext>
          </c:extLst>
        </c:ser>
        <c:ser>
          <c:idx val="2"/>
          <c:order val="2"/>
          <c:tx>
            <c:strRef>
              <c:f>electrical!$D$52</c:f>
              <c:strCache>
                <c:ptCount val="1"/>
                <c:pt idx="0">
                  <c:v>60.00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electrical!$D$53:$D$62</c:f>
              <c:numCache>
                <c:formatCode>0.00E+00</c:formatCode>
                <c:ptCount val="10"/>
                <c:pt idx="0">
                  <c:v>2.5756999999999999</c:v>
                </c:pt>
                <c:pt idx="1">
                  <c:v>2.5518000000000001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D6-44D9-934E-A172A41A82CD}"/>
            </c:ext>
          </c:extLst>
        </c:ser>
        <c:ser>
          <c:idx val="3"/>
          <c:order val="3"/>
          <c:tx>
            <c:strRef>
              <c:f>electrical!$E$52</c:f>
              <c:strCache>
                <c:ptCount val="1"/>
                <c:pt idx="0">
                  <c:v>70.00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electrical!$E$53:$E$62</c:f>
              <c:numCache>
                <c:formatCode>0.00E+00</c:formatCode>
                <c:ptCount val="10"/>
                <c:pt idx="0">
                  <c:v>2.6387</c:v>
                </c:pt>
                <c:pt idx="1">
                  <c:v>2.5602999999999998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D6-44D9-934E-A172A41A82CD}"/>
            </c:ext>
          </c:extLst>
        </c:ser>
        <c:ser>
          <c:idx val="4"/>
          <c:order val="4"/>
          <c:tx>
            <c:strRef>
              <c:f>electrical!$F$52</c:f>
              <c:strCache>
                <c:ptCount val="1"/>
                <c:pt idx="0">
                  <c:v>80.00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electrical!$F$53:$F$62</c:f>
              <c:numCache>
                <c:formatCode>0.00E+00</c:formatCode>
                <c:ptCount val="10"/>
                <c:pt idx="0">
                  <c:v>2.6778</c:v>
                </c:pt>
                <c:pt idx="1">
                  <c:v>2.5705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D6-44D9-934E-A172A41A82CD}"/>
            </c:ext>
          </c:extLst>
        </c:ser>
        <c:ser>
          <c:idx val="5"/>
          <c:order val="5"/>
          <c:tx>
            <c:strRef>
              <c:f>electrical!$G$52</c:f>
              <c:strCache>
                <c:ptCount val="1"/>
                <c:pt idx="0">
                  <c:v>90.00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electrical!$G$53:$G$62</c:f>
              <c:numCache>
                <c:formatCode>0.00E+00</c:formatCode>
                <c:ptCount val="10"/>
                <c:pt idx="0">
                  <c:v>2.7113</c:v>
                </c:pt>
                <c:pt idx="1">
                  <c:v>2.5442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D6-44D9-934E-A172A41A82CD}"/>
            </c:ext>
          </c:extLst>
        </c:ser>
        <c:ser>
          <c:idx val="6"/>
          <c:order val="6"/>
          <c:tx>
            <c:strRef>
              <c:f>electrical!$H$52</c:f>
              <c:strCache>
                <c:ptCount val="1"/>
                <c:pt idx="0">
                  <c:v>100.00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electrical!$H$53:$H$62</c:f>
              <c:numCache>
                <c:formatCode>0.00E+00</c:formatCode>
                <c:ptCount val="10"/>
                <c:pt idx="0">
                  <c:v>2.7726000000000002</c:v>
                </c:pt>
                <c:pt idx="1">
                  <c:v>2.5333999999999999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D6-44D9-934E-A172A41A82CD}"/>
            </c:ext>
          </c:extLst>
        </c:ser>
        <c:ser>
          <c:idx val="7"/>
          <c:order val="7"/>
          <c:tx>
            <c:strRef>
              <c:f>electrical!$I$52</c:f>
              <c:strCache>
                <c:ptCount val="1"/>
                <c:pt idx="0">
                  <c:v>110.00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electrical!$I$53:$I$62</c:f>
              <c:numCache>
                <c:formatCode>0.00E+00</c:formatCode>
                <c:ptCount val="10"/>
                <c:pt idx="0">
                  <c:v>2.8001999999999998</c:v>
                </c:pt>
                <c:pt idx="1">
                  <c:v>2.5379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D6-44D9-934E-A172A41A82CD}"/>
            </c:ext>
          </c:extLst>
        </c:ser>
        <c:ser>
          <c:idx val="8"/>
          <c:order val="8"/>
          <c:tx>
            <c:strRef>
              <c:f>electrical!$J$52</c:f>
              <c:strCache>
                <c:ptCount val="1"/>
                <c:pt idx="0">
                  <c:v>120.00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electrical!$J$53:$J$62</c:f>
              <c:numCache>
                <c:formatCode>0.00E+00</c:formatCode>
                <c:ptCount val="10"/>
                <c:pt idx="0">
                  <c:v>2.8353999999999999</c:v>
                </c:pt>
                <c:pt idx="1">
                  <c:v>2.5552000000000001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D6-44D9-934E-A172A41A82CD}"/>
            </c:ext>
          </c:extLst>
        </c:ser>
        <c:ser>
          <c:idx val="9"/>
          <c:order val="9"/>
          <c:tx>
            <c:strRef>
              <c:f>electrical!$K$52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electrical!$K$53:$K$62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D6-44D9-934E-A172A41A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Pvsin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electrical!$B$72</c:f>
              <c:strCache>
                <c:ptCount val="1"/>
                <c:pt idx="0">
                  <c:v>40.00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electrical!$B$73:$B$82</c:f>
              <c:numCache>
                <c:formatCode>0.00E+00</c:formatCode>
                <c:ptCount val="10"/>
                <c:pt idx="0">
                  <c:v>575.92999999999995</c:v>
                </c:pt>
                <c:pt idx="1">
                  <c:v>1350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E-46E7-8B44-43E86AFE8554}"/>
            </c:ext>
          </c:extLst>
        </c:ser>
        <c:ser>
          <c:idx val="1"/>
          <c:order val="1"/>
          <c:tx>
            <c:strRef>
              <c:f>electrical!$C$72</c:f>
              <c:strCache>
                <c:ptCount val="1"/>
                <c:pt idx="0">
                  <c:v>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electrical!$C$73:$C$82</c:f>
              <c:numCache>
                <c:formatCode>0.00E+00</c:formatCode>
                <c:ptCount val="10"/>
                <c:pt idx="0">
                  <c:v>531.02</c:v>
                </c:pt>
                <c:pt idx="1">
                  <c:v>1309.1199999999999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E-46E7-8B44-43E86AFE8554}"/>
            </c:ext>
          </c:extLst>
        </c:ser>
        <c:ser>
          <c:idx val="2"/>
          <c:order val="2"/>
          <c:tx>
            <c:strRef>
              <c:f>electrical!$D$72</c:f>
              <c:strCache>
                <c:ptCount val="1"/>
                <c:pt idx="0">
                  <c:v>60.00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electrical!$D$73:$D$82</c:f>
              <c:numCache>
                <c:formatCode>0.00E+00</c:formatCode>
                <c:ptCount val="10"/>
                <c:pt idx="0">
                  <c:v>479.07</c:v>
                </c:pt>
                <c:pt idx="1">
                  <c:v>1290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7E-46E7-8B44-43E86AFE8554}"/>
            </c:ext>
          </c:extLst>
        </c:ser>
        <c:ser>
          <c:idx val="3"/>
          <c:order val="3"/>
          <c:tx>
            <c:strRef>
              <c:f>electrical!$E$72</c:f>
              <c:strCache>
                <c:ptCount val="1"/>
                <c:pt idx="0">
                  <c:v>70.00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electrical!$E$73:$E$82</c:f>
              <c:numCache>
                <c:formatCode>0.00E+00</c:formatCode>
                <c:ptCount val="10"/>
                <c:pt idx="0">
                  <c:v>442.81</c:v>
                </c:pt>
                <c:pt idx="1">
                  <c:v>1240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7E-46E7-8B44-43E86AFE8554}"/>
            </c:ext>
          </c:extLst>
        </c:ser>
        <c:ser>
          <c:idx val="4"/>
          <c:order val="4"/>
          <c:tx>
            <c:strRef>
              <c:f>electrical!$F$72</c:f>
              <c:strCache>
                <c:ptCount val="1"/>
                <c:pt idx="0">
                  <c:v>80.00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electrical!$F$73:$F$82</c:f>
              <c:numCache>
                <c:formatCode>0.00E+00</c:formatCode>
                <c:ptCount val="10"/>
                <c:pt idx="0">
                  <c:v>410.64</c:v>
                </c:pt>
                <c:pt idx="1">
                  <c:v>1215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7E-46E7-8B44-43E86AFE8554}"/>
            </c:ext>
          </c:extLst>
        </c:ser>
        <c:ser>
          <c:idx val="5"/>
          <c:order val="5"/>
          <c:tx>
            <c:strRef>
              <c:f>electrical!$G$72</c:f>
              <c:strCache>
                <c:ptCount val="1"/>
                <c:pt idx="0">
                  <c:v>90.00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electrical!$G$73:$G$82</c:f>
              <c:numCache>
                <c:formatCode>0.00E+00</c:formatCode>
                <c:ptCount val="10"/>
                <c:pt idx="0">
                  <c:v>393.81</c:v>
                </c:pt>
                <c:pt idx="1">
                  <c:v>1205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7E-46E7-8B44-43E86AFE8554}"/>
            </c:ext>
          </c:extLst>
        </c:ser>
        <c:ser>
          <c:idx val="6"/>
          <c:order val="6"/>
          <c:tx>
            <c:strRef>
              <c:f>electrical!$H$72</c:f>
              <c:strCache>
                <c:ptCount val="1"/>
                <c:pt idx="0">
                  <c:v>100.00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electrical!$H$73:$H$82</c:f>
              <c:numCache>
                <c:formatCode>0.00E+00</c:formatCode>
                <c:ptCount val="10"/>
                <c:pt idx="0">
                  <c:v>392.92</c:v>
                </c:pt>
                <c:pt idx="1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7E-46E7-8B44-43E86AFE8554}"/>
            </c:ext>
          </c:extLst>
        </c:ser>
        <c:ser>
          <c:idx val="7"/>
          <c:order val="7"/>
          <c:tx>
            <c:strRef>
              <c:f>electrical!$I$72</c:f>
              <c:strCache>
                <c:ptCount val="1"/>
                <c:pt idx="0">
                  <c:v>110.00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electrical!$I$73:$I$82</c:f>
              <c:numCache>
                <c:formatCode>0.00E+00</c:formatCode>
                <c:ptCount val="10"/>
                <c:pt idx="0">
                  <c:v>415.13</c:v>
                </c:pt>
                <c:pt idx="1">
                  <c:v>1280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7E-46E7-8B44-43E86AFE8554}"/>
            </c:ext>
          </c:extLst>
        </c:ser>
        <c:ser>
          <c:idx val="8"/>
          <c:order val="8"/>
          <c:tx>
            <c:strRef>
              <c:f>electrical!$J$72</c:f>
              <c:strCache>
                <c:ptCount val="1"/>
                <c:pt idx="0">
                  <c:v>120.00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electrical!$J$73:$J$82</c:f>
              <c:numCache>
                <c:formatCode>0.00E+00</c:formatCode>
                <c:ptCount val="10"/>
                <c:pt idx="0">
                  <c:v>458.36</c:v>
                </c:pt>
                <c:pt idx="1">
                  <c:v>1370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67E-46E7-8B44-43E86AFE8554}"/>
            </c:ext>
          </c:extLst>
        </c:ser>
        <c:ser>
          <c:idx val="9"/>
          <c:order val="9"/>
          <c:tx>
            <c:strRef>
              <c:f>electrical!$K$72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electrical!$K$73:$K$82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67E-46E7-8B44-43E86AFE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Pvsin (kW/m3)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28</xdr:row>
      <xdr:rowOff>175260</xdr:rowOff>
    </xdr:from>
    <xdr:to>
      <xdr:col>21</xdr:col>
      <xdr:colOff>538440</xdr:colOff>
      <xdr:row>41</xdr:row>
      <xdr:rowOff>143457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7355F-CE4A-4E67-8C92-D1ECF9495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48</xdr:row>
      <xdr:rowOff>175260</xdr:rowOff>
    </xdr:from>
    <xdr:to>
      <xdr:col>21</xdr:col>
      <xdr:colOff>507960</xdr:colOff>
      <xdr:row>61</xdr:row>
      <xdr:rowOff>143457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CE58C-3634-47C1-B483-2A0F6F69D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</xdr:colOff>
      <xdr:row>69</xdr:row>
      <xdr:rowOff>7620</xdr:rowOff>
    </xdr:from>
    <xdr:to>
      <xdr:col>21</xdr:col>
      <xdr:colOff>538440</xdr:colOff>
      <xdr:row>81</xdr:row>
      <xdr:rowOff>166317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940C28-6A08-4577-95CE-07D88E340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1.7109375" bestFit="1" customWidth="1"/>
    <col min="2" max="2" width="13.7109375" bestFit="1" customWidth="1"/>
  </cols>
  <sheetData>
    <row r="1" spans="1:3" x14ac:dyDescent="0.25">
      <c r="A1" s="31" t="s">
        <v>41</v>
      </c>
      <c r="B1" t="s">
        <v>46</v>
      </c>
    </row>
    <row r="2" spans="1:3" x14ac:dyDescent="0.25">
      <c r="A2" s="31" t="s">
        <v>42</v>
      </c>
      <c r="B2" s="32">
        <v>45782</v>
      </c>
    </row>
    <row r="3" spans="1:3" x14ac:dyDescent="0.25">
      <c r="A3" s="31" t="s">
        <v>43</v>
      </c>
      <c r="B3" s="33"/>
    </row>
    <row r="7" spans="1:3" ht="15.75" thickBot="1" x14ac:dyDescent="0.3">
      <c r="A7" s="34" t="s">
        <v>0</v>
      </c>
      <c r="B7" s="34" t="s">
        <v>44</v>
      </c>
      <c r="C7" s="34" t="s">
        <v>14</v>
      </c>
    </row>
    <row r="8" spans="1:3" ht="15.75" thickTop="1" x14ac:dyDescent="0.25">
      <c r="A8" s="31" t="s">
        <v>22</v>
      </c>
      <c r="B8" t="s">
        <v>47</v>
      </c>
    </row>
    <row r="9" spans="1:3" x14ac:dyDescent="0.25">
      <c r="A9" s="31"/>
    </row>
    <row r="10" spans="1:3" x14ac:dyDescent="0.25">
      <c r="A10" s="31"/>
    </row>
    <row r="11" spans="1:3" x14ac:dyDescent="0.25">
      <c r="A11" s="31"/>
    </row>
    <row r="12" spans="1:3" x14ac:dyDescent="0.25">
      <c r="A12" s="31"/>
    </row>
    <row r="13" spans="1:3" x14ac:dyDescent="0.25">
      <c r="A13" s="31"/>
    </row>
    <row r="14" spans="1:3" x14ac:dyDescent="0.25">
      <c r="A14" s="31"/>
    </row>
  </sheetData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A7B3-208D-49B4-A622-7BE04E7FA670}">
  <dimension ref="A1:P109"/>
  <sheetViews>
    <sheetView topLeftCell="B1" zoomScaleNormal="100" workbookViewId="0">
      <selection activeCell="E20" sqref="E20"/>
    </sheetView>
  </sheetViews>
  <sheetFormatPr baseColWidth="10" defaultColWidth="9.140625" defaultRowHeight="15" x14ac:dyDescent="0.25"/>
  <cols>
    <col min="1" max="1" width="35.5703125" customWidth="1"/>
    <col min="2" max="2" width="54.85546875" customWidth="1"/>
  </cols>
  <sheetData>
    <row r="1" spans="1:16" ht="15.75" thickBot="1" x14ac:dyDescent="0.3">
      <c r="A1" s="1" t="s">
        <v>0</v>
      </c>
      <c r="B1" s="2" t="s">
        <v>40</v>
      </c>
      <c r="C1" s="2" t="s">
        <v>45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9" t="s">
        <v>14</v>
      </c>
    </row>
    <row r="2" spans="1:16" ht="15.75" thickTop="1" x14ac:dyDescent="0.25">
      <c r="A2" s="50" t="s">
        <v>68</v>
      </c>
      <c r="B2" s="42" t="s">
        <v>59</v>
      </c>
      <c r="C2" s="43" t="s">
        <v>15</v>
      </c>
      <c r="D2" s="44" t="s">
        <v>48</v>
      </c>
      <c r="E2" s="45">
        <v>10</v>
      </c>
      <c r="F2" s="46"/>
      <c r="G2" s="47"/>
      <c r="H2" s="47"/>
      <c r="I2" s="47"/>
      <c r="J2" s="47"/>
      <c r="K2" s="47"/>
      <c r="L2" s="47"/>
      <c r="M2" s="47"/>
      <c r="N2" s="47"/>
      <c r="O2" s="47"/>
      <c r="P2" s="48" t="s">
        <v>57</v>
      </c>
    </row>
    <row r="3" spans="1:16" x14ac:dyDescent="0.25">
      <c r="A3" s="50" t="s">
        <v>69</v>
      </c>
      <c r="B3" s="42" t="s">
        <v>60</v>
      </c>
      <c r="C3" s="43" t="s">
        <v>15</v>
      </c>
      <c r="D3" s="44" t="s">
        <v>49</v>
      </c>
      <c r="E3" s="45">
        <v>1</v>
      </c>
      <c r="F3" s="46"/>
      <c r="G3" s="47"/>
      <c r="H3" s="47"/>
      <c r="I3" s="47"/>
      <c r="J3" s="47"/>
      <c r="K3" s="47"/>
      <c r="L3" s="47"/>
      <c r="M3" s="47"/>
      <c r="N3" s="47"/>
      <c r="O3" s="47"/>
      <c r="P3" s="48" t="s">
        <v>57</v>
      </c>
    </row>
    <row r="4" spans="1:16" x14ac:dyDescent="0.25">
      <c r="A4" s="50" t="s">
        <v>137</v>
      </c>
      <c r="B4" s="42" t="s">
        <v>61</v>
      </c>
      <c r="C4" s="43" t="s">
        <v>15</v>
      </c>
      <c r="D4" s="44" t="s">
        <v>50</v>
      </c>
      <c r="E4" s="49">
        <v>2.3390000000000001E-2</v>
      </c>
      <c r="F4" s="46"/>
      <c r="G4" s="47"/>
      <c r="H4" s="47"/>
      <c r="I4" s="47"/>
      <c r="J4" s="47"/>
      <c r="K4" s="47"/>
      <c r="L4" s="47"/>
      <c r="M4" s="47"/>
      <c r="N4" s="47"/>
      <c r="O4" s="47"/>
      <c r="P4" s="48" t="s">
        <v>16</v>
      </c>
    </row>
    <row r="5" spans="1:16" x14ac:dyDescent="0.25">
      <c r="A5" s="50" t="s">
        <v>70</v>
      </c>
      <c r="B5" s="42" t="s">
        <v>62</v>
      </c>
      <c r="C5" s="43" t="s">
        <v>15</v>
      </c>
      <c r="D5" s="44" t="s">
        <v>51</v>
      </c>
      <c r="E5" s="49">
        <v>2.251E-3</v>
      </c>
      <c r="F5" s="46"/>
      <c r="G5" s="47"/>
      <c r="H5" s="47"/>
      <c r="I5" s="47"/>
      <c r="J5" s="47"/>
      <c r="K5" s="47"/>
      <c r="L5" s="47"/>
      <c r="M5" s="47"/>
      <c r="N5" s="47"/>
      <c r="O5" s="47"/>
      <c r="P5" s="48" t="s">
        <v>16</v>
      </c>
    </row>
    <row r="6" spans="1:16" x14ac:dyDescent="0.25">
      <c r="A6" s="50" t="s">
        <v>71</v>
      </c>
      <c r="B6" s="42" t="s">
        <v>63</v>
      </c>
      <c r="C6" s="43" t="s">
        <v>15</v>
      </c>
      <c r="D6" s="44" t="s">
        <v>52</v>
      </c>
      <c r="E6" s="49">
        <v>1000000000</v>
      </c>
      <c r="F6" s="46"/>
      <c r="G6" s="47"/>
      <c r="H6" s="47"/>
      <c r="I6" s="47"/>
      <c r="J6" s="47"/>
      <c r="K6" s="47"/>
      <c r="L6" s="47"/>
      <c r="M6" s="47"/>
      <c r="N6" s="47"/>
      <c r="O6" s="47"/>
      <c r="P6" s="48" t="s">
        <v>16</v>
      </c>
    </row>
    <row r="7" spans="1:16" x14ac:dyDescent="0.25">
      <c r="A7" s="50" t="s">
        <v>72</v>
      </c>
      <c r="B7" s="42" t="s">
        <v>64</v>
      </c>
      <c r="C7" s="43" t="s">
        <v>15</v>
      </c>
      <c r="D7" s="44" t="s">
        <v>53</v>
      </c>
      <c r="E7" s="49">
        <v>1000000000</v>
      </c>
      <c r="F7" s="46"/>
      <c r="G7" s="47"/>
      <c r="H7" s="47"/>
      <c r="I7" s="47"/>
      <c r="J7" s="47"/>
      <c r="K7" s="47"/>
      <c r="L7" s="47"/>
      <c r="M7" s="47"/>
      <c r="N7" s="47"/>
      <c r="O7" s="47"/>
      <c r="P7" s="48" t="s">
        <v>16</v>
      </c>
    </row>
    <row r="8" spans="1:16" x14ac:dyDescent="0.25">
      <c r="A8" s="50" t="s">
        <v>73</v>
      </c>
      <c r="B8" s="42" t="s">
        <v>65</v>
      </c>
      <c r="C8" s="43" t="s">
        <v>15</v>
      </c>
      <c r="D8" s="44" t="s">
        <v>54</v>
      </c>
      <c r="E8" s="49">
        <v>9.9999999999999995E-7</v>
      </c>
      <c r="F8" s="46"/>
      <c r="G8" s="46"/>
      <c r="H8" s="46"/>
      <c r="I8" s="46"/>
      <c r="J8" s="47"/>
      <c r="K8" s="47"/>
      <c r="L8" s="47"/>
      <c r="M8" s="47"/>
      <c r="N8" s="47"/>
      <c r="O8" s="47"/>
      <c r="P8" s="48" t="s">
        <v>58</v>
      </c>
    </row>
    <row r="9" spans="1:16" x14ac:dyDescent="0.25">
      <c r="A9" s="50" t="s">
        <v>74</v>
      </c>
      <c r="B9" s="42" t="s">
        <v>66</v>
      </c>
      <c r="C9" s="43" t="s">
        <v>15</v>
      </c>
      <c r="D9" s="44" t="s">
        <v>55</v>
      </c>
      <c r="E9" s="49">
        <v>2E-8</v>
      </c>
      <c r="F9" s="46"/>
      <c r="G9" s="46"/>
      <c r="H9" s="46"/>
      <c r="I9" s="46"/>
      <c r="J9" s="47"/>
      <c r="K9" s="47"/>
      <c r="L9" s="47"/>
      <c r="M9" s="47"/>
      <c r="N9" s="47"/>
      <c r="O9" s="47"/>
      <c r="P9" s="48" t="s">
        <v>58</v>
      </c>
    </row>
    <row r="10" spans="1:16" x14ac:dyDescent="0.25">
      <c r="A10" s="50" t="s">
        <v>75</v>
      </c>
      <c r="B10" s="42" t="s">
        <v>67</v>
      </c>
      <c r="C10" s="43" t="s">
        <v>15</v>
      </c>
      <c r="D10" s="44" t="s">
        <v>56</v>
      </c>
      <c r="E10" s="49">
        <v>5.9999999999999995E-4</v>
      </c>
      <c r="F10" s="46"/>
      <c r="G10" s="46"/>
      <c r="H10" s="46"/>
      <c r="I10" s="46"/>
      <c r="J10" s="47"/>
      <c r="K10" s="47"/>
      <c r="L10" s="47"/>
      <c r="M10" s="47"/>
      <c r="N10" s="47"/>
      <c r="O10" s="47"/>
      <c r="P10" s="48" t="s">
        <v>58</v>
      </c>
    </row>
    <row r="11" spans="1:16" x14ac:dyDescent="0.25">
      <c r="A11" s="35" t="s">
        <v>76</v>
      </c>
      <c r="B11" s="42" t="s">
        <v>79</v>
      </c>
      <c r="C11" s="43" t="s">
        <v>15</v>
      </c>
      <c r="D11" s="44" t="s">
        <v>77</v>
      </c>
      <c r="E11" s="8">
        <v>2.2699999999999999E-4</v>
      </c>
      <c r="F11" s="9"/>
      <c r="G11" s="9"/>
      <c r="H11" s="9"/>
      <c r="I11" s="9"/>
      <c r="J11" s="9"/>
      <c r="K11" s="9"/>
      <c r="L11" s="9"/>
      <c r="M11" s="10"/>
      <c r="N11" s="10"/>
      <c r="O11" s="38"/>
      <c r="P11" s="54" t="s">
        <v>90</v>
      </c>
    </row>
    <row r="12" spans="1:16" x14ac:dyDescent="0.25">
      <c r="A12" s="35" t="s">
        <v>78</v>
      </c>
      <c r="B12" s="42" t="s">
        <v>80</v>
      </c>
      <c r="C12" s="43" t="s">
        <v>15</v>
      </c>
      <c r="D12" s="44" t="s">
        <v>81</v>
      </c>
      <c r="E12" s="8">
        <v>2.2019999999999999E-5</v>
      </c>
      <c r="F12" s="9"/>
      <c r="G12" s="10"/>
      <c r="H12" s="10"/>
      <c r="I12" s="10"/>
      <c r="J12" s="10"/>
      <c r="K12" s="10"/>
      <c r="L12" s="10"/>
      <c r="M12" s="10"/>
      <c r="N12" s="10"/>
      <c r="O12" s="38"/>
      <c r="P12" s="54" t="s">
        <v>91</v>
      </c>
    </row>
    <row r="13" spans="1:16" x14ac:dyDescent="0.25">
      <c r="A13" s="35" t="s">
        <v>83</v>
      </c>
      <c r="B13" s="42" t="s">
        <v>84</v>
      </c>
      <c r="C13" s="43" t="s">
        <v>15</v>
      </c>
      <c r="D13" s="44" t="s">
        <v>85</v>
      </c>
      <c r="E13" s="8">
        <v>40</v>
      </c>
      <c r="F13" s="52">
        <v>40</v>
      </c>
      <c r="G13" s="9">
        <v>50</v>
      </c>
      <c r="H13" s="53">
        <v>60</v>
      </c>
      <c r="I13" s="53">
        <v>70</v>
      </c>
      <c r="J13" s="53">
        <v>80</v>
      </c>
      <c r="K13" s="53">
        <v>90</v>
      </c>
      <c r="L13" s="53">
        <v>100</v>
      </c>
      <c r="M13" s="53">
        <v>110</v>
      </c>
      <c r="N13" s="53">
        <v>120</v>
      </c>
      <c r="O13" s="38"/>
      <c r="P13" s="54" t="s">
        <v>92</v>
      </c>
    </row>
    <row r="14" spans="1:16" x14ac:dyDescent="0.25">
      <c r="A14" s="35" t="s">
        <v>86</v>
      </c>
      <c r="B14" s="42" t="s">
        <v>111</v>
      </c>
      <c r="C14" s="43" t="s">
        <v>15</v>
      </c>
      <c r="D14" s="44" t="s">
        <v>87</v>
      </c>
      <c r="E14" s="8">
        <v>100000</v>
      </c>
      <c r="F14" s="9">
        <v>100000</v>
      </c>
      <c r="G14" s="9">
        <v>200000</v>
      </c>
      <c r="H14" s="9"/>
      <c r="I14" s="9"/>
      <c r="J14" s="9"/>
      <c r="K14" s="9"/>
      <c r="L14" s="9"/>
      <c r="M14" s="9"/>
      <c r="N14" s="9"/>
      <c r="O14" s="37"/>
      <c r="P14" s="54" t="s">
        <v>93</v>
      </c>
    </row>
    <row r="15" spans="1:16" x14ac:dyDescent="0.25">
      <c r="A15" s="35" t="s">
        <v>94</v>
      </c>
      <c r="B15" s="42" t="s">
        <v>112</v>
      </c>
      <c r="C15" s="43" t="s">
        <v>97</v>
      </c>
      <c r="D15" s="44" t="s">
        <v>98</v>
      </c>
      <c r="E15" s="8">
        <v>1.3053999999999999</v>
      </c>
      <c r="F15" s="9"/>
      <c r="G15" s="9"/>
      <c r="H15" s="9"/>
      <c r="I15" s="9"/>
      <c r="J15" s="9"/>
      <c r="K15" s="9"/>
      <c r="L15" s="9"/>
      <c r="M15" s="9"/>
      <c r="N15" s="9"/>
      <c r="O15" s="37"/>
      <c r="P15" s="54"/>
    </row>
    <row r="16" spans="1:16" x14ac:dyDescent="0.25">
      <c r="A16" s="35" t="s">
        <v>95</v>
      </c>
      <c r="B16" s="42" t="s">
        <v>112</v>
      </c>
      <c r="C16" s="43" t="s">
        <v>97</v>
      </c>
      <c r="D16" s="44" t="s">
        <v>99</v>
      </c>
      <c r="E16" s="8">
        <v>2.5003000000000002</v>
      </c>
      <c r="F16" s="9"/>
      <c r="G16" s="9"/>
      <c r="H16" s="9"/>
      <c r="I16" s="9"/>
      <c r="J16" s="9"/>
      <c r="K16" s="9"/>
      <c r="L16" s="9"/>
      <c r="M16" s="9"/>
      <c r="N16" s="9"/>
      <c r="O16" s="37"/>
      <c r="P16" s="40"/>
    </row>
    <row r="17" spans="1:16" x14ac:dyDescent="0.25">
      <c r="A17" s="35" t="s">
        <v>96</v>
      </c>
      <c r="B17" s="42" t="s">
        <v>112</v>
      </c>
      <c r="C17" s="43" t="s">
        <v>97</v>
      </c>
      <c r="D17" s="44" t="s">
        <v>100</v>
      </c>
      <c r="E17" s="8">
        <v>575.92999999999995</v>
      </c>
      <c r="F17" s="9"/>
      <c r="G17" s="9"/>
      <c r="H17" s="9"/>
      <c r="I17" s="9"/>
      <c r="J17" s="9"/>
      <c r="K17" s="9"/>
      <c r="L17" s="9"/>
      <c r="M17" s="9"/>
      <c r="N17" s="9"/>
      <c r="O17" s="37"/>
      <c r="P17" s="40"/>
    </row>
    <row r="18" spans="1:16" x14ac:dyDescent="0.25">
      <c r="A18" s="55" t="s">
        <v>109</v>
      </c>
      <c r="B18" t="s">
        <v>107</v>
      </c>
      <c r="C18" s="43" t="s">
        <v>97</v>
      </c>
      <c r="D18" s="44" t="s">
        <v>108</v>
      </c>
      <c r="E18" s="57" t="s">
        <v>136</v>
      </c>
      <c r="F18" s="9"/>
      <c r="G18" s="9"/>
      <c r="H18" s="9"/>
      <c r="I18" s="9"/>
      <c r="J18" s="9"/>
      <c r="K18" s="9"/>
      <c r="L18" s="9"/>
      <c r="M18" s="9"/>
      <c r="N18" s="9"/>
      <c r="O18" s="37"/>
      <c r="P18" s="40"/>
    </row>
    <row r="19" spans="1:16" x14ac:dyDescent="0.25">
      <c r="A19" s="35" t="s">
        <v>103</v>
      </c>
      <c r="B19" t="s">
        <v>104</v>
      </c>
      <c r="C19" s="43" t="s">
        <v>97</v>
      </c>
      <c r="D19" s="44" t="s">
        <v>101</v>
      </c>
      <c r="E19" s="8">
        <v>7.4999999999999997E-3</v>
      </c>
      <c r="F19" s="9"/>
      <c r="G19" s="9"/>
      <c r="H19" s="9"/>
      <c r="I19" s="9"/>
      <c r="J19" s="9"/>
      <c r="K19" s="9"/>
      <c r="L19" s="9"/>
      <c r="M19" s="9"/>
      <c r="N19" s="9"/>
      <c r="O19" s="37"/>
      <c r="P19" s="56" t="s">
        <v>110</v>
      </c>
    </row>
    <row r="20" spans="1:16" x14ac:dyDescent="0.25">
      <c r="A20" s="35" t="s">
        <v>105</v>
      </c>
      <c r="B20" t="s">
        <v>106</v>
      </c>
      <c r="C20" s="43" t="s">
        <v>97</v>
      </c>
      <c r="D20" s="44" t="s">
        <v>102</v>
      </c>
      <c r="E20" s="8">
        <v>6.6000000000000005E-5</v>
      </c>
      <c r="F20" s="9"/>
      <c r="G20" s="9"/>
      <c r="H20" s="9"/>
      <c r="I20" s="9"/>
      <c r="J20" s="9"/>
      <c r="K20" s="9"/>
      <c r="L20" s="9"/>
      <c r="M20" s="9"/>
      <c r="N20" s="9"/>
      <c r="O20" s="37"/>
      <c r="P20" s="56" t="s">
        <v>110</v>
      </c>
    </row>
    <row r="21" spans="1:16" x14ac:dyDescent="0.25">
      <c r="A21" s="35" t="s">
        <v>127</v>
      </c>
      <c r="B21" t="s">
        <v>133</v>
      </c>
      <c r="C21" s="43" t="s">
        <v>97</v>
      </c>
      <c r="D21" s="44" t="s">
        <v>128</v>
      </c>
      <c r="E21" s="8">
        <v>1E-3</v>
      </c>
      <c r="F21" s="9"/>
      <c r="G21" s="9"/>
      <c r="H21" s="9"/>
      <c r="I21" s="9"/>
      <c r="J21" s="9"/>
      <c r="K21" s="9"/>
      <c r="L21" s="9"/>
      <c r="M21" s="9"/>
      <c r="N21" s="9"/>
      <c r="O21" s="37"/>
      <c r="P21" s="54" t="s">
        <v>110</v>
      </c>
    </row>
    <row r="22" spans="1:16" x14ac:dyDescent="0.25">
      <c r="A22" s="35" t="s">
        <v>129</v>
      </c>
      <c r="B22" t="s">
        <v>130</v>
      </c>
      <c r="C22" s="43" t="s">
        <v>97</v>
      </c>
      <c r="D22" s="44" t="s">
        <v>131</v>
      </c>
      <c r="E22" s="8">
        <v>1</v>
      </c>
      <c r="F22" s="9"/>
      <c r="G22" s="9"/>
      <c r="H22" s="9"/>
      <c r="I22" s="9"/>
      <c r="J22" s="9"/>
      <c r="K22" s="9"/>
      <c r="L22" s="9"/>
      <c r="M22" s="9"/>
      <c r="N22" s="9"/>
      <c r="O22" s="37"/>
      <c r="P22" s="54"/>
    </row>
    <row r="23" spans="1:16" x14ac:dyDescent="0.25">
      <c r="A23" s="35" t="s">
        <v>132</v>
      </c>
      <c r="B23" t="s">
        <v>134</v>
      </c>
      <c r="C23" s="43" t="s">
        <v>97</v>
      </c>
      <c r="D23" s="44" t="s">
        <v>135</v>
      </c>
      <c r="E23" s="8">
        <v>1E-3</v>
      </c>
      <c r="F23" s="9"/>
      <c r="G23" s="9"/>
      <c r="H23" s="9"/>
      <c r="I23" s="9"/>
      <c r="J23" s="9"/>
      <c r="K23" s="9"/>
      <c r="L23" s="9"/>
      <c r="M23" s="9"/>
      <c r="N23" s="9"/>
      <c r="O23" s="37"/>
      <c r="P23" s="54" t="s">
        <v>110</v>
      </c>
    </row>
    <row r="24" spans="1:16" x14ac:dyDescent="0.25">
      <c r="A24" s="6"/>
      <c r="D24" s="36"/>
      <c r="E24" s="8"/>
      <c r="F24" s="9"/>
      <c r="G24" s="9"/>
      <c r="H24" s="9"/>
      <c r="I24" s="9"/>
      <c r="J24" s="9"/>
      <c r="K24" s="9"/>
      <c r="L24" s="9"/>
      <c r="M24" s="9"/>
      <c r="N24" s="9"/>
      <c r="O24" s="37"/>
      <c r="P24" s="54"/>
    </row>
    <row r="25" spans="1:16" ht="15.75" thickBot="1" x14ac:dyDescent="0.3">
      <c r="A25" s="16"/>
      <c r="B25" s="17"/>
      <c r="C25" s="17"/>
      <c r="D25" s="17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1"/>
    </row>
    <row r="29" spans="1:16" ht="15.75" thickBot="1" x14ac:dyDescent="0.3"/>
    <row r="30" spans="1:16" x14ac:dyDescent="0.25">
      <c r="A30" s="75" t="s">
        <v>82</v>
      </c>
      <c r="B30" s="76"/>
      <c r="C30" s="76"/>
      <c r="D30" s="76"/>
      <c r="E30" s="76"/>
      <c r="F30" s="76"/>
      <c r="G30" s="76"/>
      <c r="H30" s="76"/>
      <c r="I30" s="76"/>
      <c r="J30" s="76"/>
      <c r="K30" s="77"/>
    </row>
    <row r="31" spans="1:16" x14ac:dyDescent="0.25">
      <c r="A31" s="23" t="s">
        <v>21</v>
      </c>
      <c r="B31" s="72" t="s">
        <v>20</v>
      </c>
      <c r="C31" s="73"/>
      <c r="D31" s="73"/>
      <c r="E31" s="73"/>
      <c r="F31" s="73"/>
      <c r="G31" s="73"/>
      <c r="H31" s="73"/>
      <c r="I31" s="73"/>
      <c r="J31" s="73"/>
      <c r="K31" s="74"/>
    </row>
    <row r="32" spans="1:16" ht="15.75" thickBot="1" x14ac:dyDescent="0.3">
      <c r="A32" s="24"/>
      <c r="B32" s="25">
        <f>F$13</f>
        <v>40</v>
      </c>
      <c r="C32" s="25">
        <f t="shared" ref="C32:K32" si="0">G$13</f>
        <v>50</v>
      </c>
      <c r="D32" s="25">
        <f t="shared" si="0"/>
        <v>60</v>
      </c>
      <c r="E32" s="25">
        <f t="shared" si="0"/>
        <v>70</v>
      </c>
      <c r="F32" s="25">
        <f t="shared" si="0"/>
        <v>80</v>
      </c>
      <c r="G32" s="25">
        <f t="shared" si="0"/>
        <v>90</v>
      </c>
      <c r="H32" s="25">
        <f t="shared" si="0"/>
        <v>100</v>
      </c>
      <c r="I32" s="25">
        <f t="shared" si="0"/>
        <v>110</v>
      </c>
      <c r="J32" s="25">
        <f t="shared" si="0"/>
        <v>120</v>
      </c>
      <c r="K32" s="51">
        <f t="shared" si="0"/>
        <v>0</v>
      </c>
    </row>
    <row r="33" spans="1:11" ht="15.75" thickTop="1" x14ac:dyDescent="0.25">
      <c r="A33" s="27">
        <f>F$14</f>
        <v>100000</v>
      </c>
      <c r="B33" s="9">
        <v>1.3053999999999999</v>
      </c>
      <c r="C33" s="9">
        <v>1.3394999999999999</v>
      </c>
      <c r="D33" s="9">
        <v>1.3805000000000001</v>
      </c>
      <c r="E33" s="9">
        <v>1.4061999999999999</v>
      </c>
      <c r="F33" s="9">
        <v>1.4457</v>
      </c>
      <c r="G33" s="9">
        <v>1.4770000000000001</v>
      </c>
      <c r="H33" s="9">
        <v>1.5184</v>
      </c>
      <c r="I33" s="9">
        <v>1.5510999999999999</v>
      </c>
      <c r="J33" s="9">
        <v>1.5638000000000001</v>
      </c>
      <c r="K33" s="28"/>
    </row>
    <row r="34" spans="1:11" x14ac:dyDescent="0.25">
      <c r="A34" s="27">
        <f>G$14</f>
        <v>200000</v>
      </c>
      <c r="B34" s="9">
        <v>1.3053999999999999</v>
      </c>
      <c r="C34" s="9">
        <v>1.3394999999999999</v>
      </c>
      <c r="D34" s="9">
        <v>1.3805000000000001</v>
      </c>
      <c r="E34" s="9">
        <v>1.4061999999999999</v>
      </c>
      <c r="F34" s="9">
        <v>1.4457</v>
      </c>
      <c r="G34" s="9">
        <v>1.4770000000000001</v>
      </c>
      <c r="H34" s="9">
        <v>1.5184</v>
      </c>
      <c r="I34" s="9">
        <v>1.5510999999999999</v>
      </c>
      <c r="J34" s="9">
        <v>1.5638000000000001</v>
      </c>
      <c r="K34" s="28"/>
    </row>
    <row r="35" spans="1:11" x14ac:dyDescent="0.25">
      <c r="A35" s="27">
        <f>H$14</f>
        <v>0</v>
      </c>
      <c r="B35" s="9"/>
      <c r="C35" s="9"/>
      <c r="D35" s="9"/>
      <c r="E35" s="9"/>
      <c r="F35" s="9"/>
      <c r="G35" s="9"/>
      <c r="H35" s="9"/>
      <c r="I35" s="9"/>
      <c r="J35" s="9"/>
      <c r="K35" s="28"/>
    </row>
    <row r="36" spans="1:11" x14ac:dyDescent="0.25">
      <c r="A36" s="27">
        <f>I$14</f>
        <v>0</v>
      </c>
      <c r="B36" s="9"/>
      <c r="C36" s="9"/>
      <c r="D36" s="9"/>
      <c r="E36" s="9"/>
      <c r="F36" s="9"/>
      <c r="G36" s="9"/>
      <c r="H36" s="9"/>
      <c r="I36" s="9"/>
      <c r="J36" s="9"/>
      <c r="K36" s="28"/>
    </row>
    <row r="37" spans="1:11" x14ac:dyDescent="0.25">
      <c r="A37" s="27">
        <f>J$14</f>
        <v>0</v>
      </c>
      <c r="B37" s="9"/>
      <c r="C37" s="9"/>
      <c r="D37" s="9"/>
      <c r="E37" s="9"/>
      <c r="F37" s="9"/>
      <c r="G37" s="9"/>
      <c r="H37" s="9"/>
      <c r="I37" s="9"/>
      <c r="J37" s="9"/>
      <c r="K37" s="28"/>
    </row>
    <row r="38" spans="1:11" x14ac:dyDescent="0.25">
      <c r="A38" s="27">
        <f>K$14</f>
        <v>0</v>
      </c>
      <c r="B38" s="9"/>
      <c r="C38" s="9"/>
      <c r="D38" s="9"/>
      <c r="E38" s="9"/>
      <c r="F38" s="9"/>
      <c r="G38" s="9"/>
      <c r="H38" s="9"/>
      <c r="I38" s="9"/>
      <c r="J38" s="9"/>
      <c r="K38" s="28"/>
    </row>
    <row r="39" spans="1:11" x14ac:dyDescent="0.25">
      <c r="A39" s="27">
        <f>L$14</f>
        <v>0</v>
      </c>
      <c r="B39" s="9"/>
      <c r="C39" s="9"/>
      <c r="D39" s="9"/>
      <c r="E39" s="9"/>
      <c r="F39" s="9"/>
      <c r="G39" s="9"/>
      <c r="H39" s="9"/>
      <c r="I39" s="9"/>
      <c r="J39" s="9"/>
      <c r="K39" s="28"/>
    </row>
    <row r="40" spans="1:11" x14ac:dyDescent="0.25">
      <c r="A40" s="27">
        <f>M$14</f>
        <v>0</v>
      </c>
      <c r="B40" s="9"/>
      <c r="C40" s="9"/>
      <c r="D40" s="9"/>
      <c r="E40" s="9"/>
      <c r="F40" s="9"/>
      <c r="G40" s="9"/>
      <c r="H40" s="9"/>
      <c r="I40" s="9"/>
      <c r="J40" s="9"/>
      <c r="K40" s="28"/>
    </row>
    <row r="41" spans="1:11" x14ac:dyDescent="0.25">
      <c r="A41" s="27">
        <f>N$14</f>
        <v>0</v>
      </c>
      <c r="B41" s="9"/>
      <c r="C41" s="9"/>
      <c r="D41" s="9"/>
      <c r="E41" s="9"/>
      <c r="F41" s="9"/>
      <c r="G41" s="9"/>
      <c r="H41" s="9"/>
      <c r="I41" s="9"/>
      <c r="J41" s="9"/>
      <c r="K41" s="28"/>
    </row>
    <row r="42" spans="1:11" ht="15.75" thickBot="1" x14ac:dyDescent="0.3">
      <c r="A42" s="29">
        <f>O$14</f>
        <v>0</v>
      </c>
      <c r="B42" s="20"/>
      <c r="C42" s="20"/>
      <c r="D42" s="20"/>
      <c r="E42" s="20"/>
      <c r="F42" s="20"/>
      <c r="G42" s="20"/>
      <c r="H42" s="20"/>
      <c r="I42" s="20"/>
      <c r="J42" s="20"/>
      <c r="K42" s="30"/>
    </row>
    <row r="49" spans="1:11" ht="15.75" thickBot="1" x14ac:dyDescent="0.3"/>
    <row r="50" spans="1:11" x14ac:dyDescent="0.25">
      <c r="A50" s="75" t="s">
        <v>88</v>
      </c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x14ac:dyDescent="0.25">
      <c r="A51" s="23" t="s">
        <v>21</v>
      </c>
      <c r="B51" s="72" t="s">
        <v>20</v>
      </c>
      <c r="C51" s="73"/>
      <c r="D51" s="73"/>
      <c r="E51" s="73"/>
      <c r="F51" s="73"/>
      <c r="G51" s="73"/>
      <c r="H51" s="73"/>
      <c r="I51" s="73"/>
      <c r="J51" s="73"/>
      <c r="K51" s="74"/>
    </row>
    <row r="52" spans="1:11" ht="15.75" thickBot="1" x14ac:dyDescent="0.3">
      <c r="A52" s="24"/>
      <c r="B52" s="25">
        <f>F$13</f>
        <v>40</v>
      </c>
      <c r="C52" s="25">
        <f t="shared" ref="C52" si="1">G$13</f>
        <v>50</v>
      </c>
      <c r="D52" s="25">
        <f t="shared" ref="D52" si="2">H$13</f>
        <v>60</v>
      </c>
      <c r="E52" s="25">
        <f t="shared" ref="E52" si="3">I$13</f>
        <v>70</v>
      </c>
      <c r="F52" s="25">
        <f t="shared" ref="F52" si="4">J$13</f>
        <v>80</v>
      </c>
      <c r="G52" s="25">
        <f t="shared" ref="G52" si="5">K$13</f>
        <v>90</v>
      </c>
      <c r="H52" s="25">
        <f t="shared" ref="H52" si="6">L$13</f>
        <v>100</v>
      </c>
      <c r="I52" s="25">
        <f t="shared" ref="I52" si="7">M$13</f>
        <v>110</v>
      </c>
      <c r="J52" s="25">
        <f t="shared" ref="J52" si="8">N$13</f>
        <v>120</v>
      </c>
      <c r="K52" s="51">
        <f t="shared" ref="K52" si="9">O$13</f>
        <v>0</v>
      </c>
    </row>
    <row r="53" spans="1:11" ht="15.75" thickTop="1" x14ac:dyDescent="0.25">
      <c r="A53" s="27">
        <f>F$14</f>
        <v>100000</v>
      </c>
      <c r="B53" s="9">
        <v>2.5003000000000002</v>
      </c>
      <c r="C53" s="9">
        <v>2.5480999999999998</v>
      </c>
      <c r="D53" s="9">
        <v>2.5756999999999999</v>
      </c>
      <c r="E53" s="9">
        <v>2.6387</v>
      </c>
      <c r="F53" s="9">
        <v>2.6778</v>
      </c>
      <c r="G53" s="9">
        <v>2.7113</v>
      </c>
      <c r="H53" s="9">
        <v>2.7726000000000002</v>
      </c>
      <c r="I53" s="9">
        <v>2.8001999999999998</v>
      </c>
      <c r="J53" s="9">
        <v>2.8353999999999999</v>
      </c>
      <c r="K53" s="28"/>
    </row>
    <row r="54" spans="1:11" x14ac:dyDescent="0.25">
      <c r="A54" s="27">
        <f>G$14</f>
        <v>200000</v>
      </c>
      <c r="B54" s="9">
        <v>2.4641000000000002</v>
      </c>
      <c r="C54" s="9">
        <v>2.4980000000000002</v>
      </c>
      <c r="D54" s="9">
        <v>2.5518000000000001</v>
      </c>
      <c r="E54" s="9">
        <v>2.5602999999999998</v>
      </c>
      <c r="F54" s="9">
        <v>2.5705</v>
      </c>
      <c r="G54" s="9">
        <v>2.5442</v>
      </c>
      <c r="H54" s="9">
        <v>2.5333999999999999</v>
      </c>
      <c r="I54" s="9">
        <v>2.5379</v>
      </c>
      <c r="J54" s="9">
        <v>2.5552000000000001</v>
      </c>
      <c r="K54" s="28"/>
    </row>
    <row r="55" spans="1:11" x14ac:dyDescent="0.25">
      <c r="A55" s="27">
        <f>H$14</f>
        <v>0</v>
      </c>
      <c r="B55" s="9"/>
      <c r="C55" s="9"/>
      <c r="D55" s="9"/>
      <c r="E55" s="9"/>
      <c r="F55" s="9"/>
      <c r="G55" s="9"/>
      <c r="H55" s="9"/>
      <c r="I55" s="9"/>
      <c r="J55" s="9"/>
      <c r="K55" s="28"/>
    </row>
    <row r="56" spans="1:11" x14ac:dyDescent="0.25">
      <c r="A56" s="27">
        <f>I$14</f>
        <v>0</v>
      </c>
      <c r="B56" s="9"/>
      <c r="C56" s="9"/>
      <c r="D56" s="9"/>
      <c r="E56" s="9"/>
      <c r="F56" s="9"/>
      <c r="G56" s="9"/>
      <c r="H56" s="9"/>
      <c r="I56" s="9"/>
      <c r="J56" s="9"/>
      <c r="K56" s="28"/>
    </row>
    <row r="57" spans="1:11" x14ac:dyDescent="0.25">
      <c r="A57" s="27">
        <f>J$14</f>
        <v>0</v>
      </c>
      <c r="B57" s="9"/>
      <c r="C57" s="9"/>
      <c r="D57" s="9"/>
      <c r="E57" s="9"/>
      <c r="F57" s="9"/>
      <c r="G57" s="9"/>
      <c r="H57" s="9"/>
      <c r="I57" s="9"/>
      <c r="J57" s="9"/>
      <c r="K57" s="28"/>
    </row>
    <row r="58" spans="1:11" x14ac:dyDescent="0.25">
      <c r="A58" s="27">
        <f>K$14</f>
        <v>0</v>
      </c>
      <c r="B58" s="9"/>
      <c r="C58" s="9"/>
      <c r="D58" s="9"/>
      <c r="E58" s="9"/>
      <c r="F58" s="9"/>
      <c r="G58" s="9"/>
      <c r="H58" s="9"/>
      <c r="I58" s="9"/>
      <c r="J58" s="9"/>
      <c r="K58" s="28"/>
    </row>
    <row r="59" spans="1:11" x14ac:dyDescent="0.25">
      <c r="A59" s="27">
        <f>L$14</f>
        <v>0</v>
      </c>
      <c r="B59" s="9"/>
      <c r="C59" s="9"/>
      <c r="D59" s="9"/>
      <c r="E59" s="9"/>
      <c r="F59" s="9"/>
      <c r="G59" s="9"/>
      <c r="H59" s="9"/>
      <c r="I59" s="9"/>
      <c r="J59" s="9"/>
      <c r="K59" s="28"/>
    </row>
    <row r="60" spans="1:11" x14ac:dyDescent="0.25">
      <c r="A60" s="27">
        <f>M$14</f>
        <v>0</v>
      </c>
      <c r="B60" s="9"/>
      <c r="C60" s="9"/>
      <c r="D60" s="9"/>
      <c r="E60" s="9"/>
      <c r="F60" s="9"/>
      <c r="G60" s="9"/>
      <c r="H60" s="9"/>
      <c r="I60" s="9"/>
      <c r="J60" s="9"/>
      <c r="K60" s="28"/>
    </row>
    <row r="61" spans="1:11" x14ac:dyDescent="0.25">
      <c r="A61" s="27">
        <f>N$14</f>
        <v>0</v>
      </c>
      <c r="B61" s="9"/>
      <c r="C61" s="9"/>
      <c r="D61" s="9"/>
      <c r="E61" s="9"/>
      <c r="F61" s="9"/>
      <c r="G61" s="9"/>
      <c r="H61" s="9"/>
      <c r="I61" s="9"/>
      <c r="J61" s="9"/>
      <c r="K61" s="28"/>
    </row>
    <row r="62" spans="1:11" ht="15.75" thickBot="1" x14ac:dyDescent="0.3">
      <c r="A62" s="29">
        <f>O$14</f>
        <v>0</v>
      </c>
      <c r="B62" s="20"/>
      <c r="C62" s="20"/>
      <c r="D62" s="20"/>
      <c r="E62" s="20"/>
      <c r="F62" s="20"/>
      <c r="G62" s="20"/>
      <c r="H62" s="20"/>
      <c r="I62" s="20"/>
      <c r="J62" s="20"/>
      <c r="K62" s="30"/>
    </row>
    <row r="69" spans="1:11" ht="15.75" thickBot="1" x14ac:dyDescent="0.3"/>
    <row r="70" spans="1:11" x14ac:dyDescent="0.25">
      <c r="A70" s="75" t="s">
        <v>89</v>
      </c>
      <c r="B70" s="76"/>
      <c r="C70" s="76"/>
      <c r="D70" s="76"/>
      <c r="E70" s="76"/>
      <c r="F70" s="76"/>
      <c r="G70" s="76"/>
      <c r="H70" s="76"/>
      <c r="I70" s="76"/>
      <c r="J70" s="76"/>
      <c r="K70" s="77"/>
    </row>
    <row r="71" spans="1:11" x14ac:dyDescent="0.25">
      <c r="A71" s="23" t="s">
        <v>21</v>
      </c>
      <c r="B71" s="72" t="s">
        <v>20</v>
      </c>
      <c r="C71" s="73"/>
      <c r="D71" s="73"/>
      <c r="E71" s="73"/>
      <c r="F71" s="73"/>
      <c r="G71" s="73"/>
      <c r="H71" s="73"/>
      <c r="I71" s="73"/>
      <c r="J71" s="73"/>
      <c r="K71" s="74"/>
    </row>
    <row r="72" spans="1:11" ht="15.75" thickBot="1" x14ac:dyDescent="0.3">
      <c r="A72" s="24"/>
      <c r="B72" s="25">
        <f>F$13</f>
        <v>40</v>
      </c>
      <c r="C72" s="25">
        <f t="shared" ref="C72" si="10">G$13</f>
        <v>50</v>
      </c>
      <c r="D72" s="25">
        <f t="shared" ref="D72" si="11">H$13</f>
        <v>60</v>
      </c>
      <c r="E72" s="25">
        <f t="shared" ref="E72" si="12">I$13</f>
        <v>70</v>
      </c>
      <c r="F72" s="25">
        <f t="shared" ref="F72" si="13">J$13</f>
        <v>80</v>
      </c>
      <c r="G72" s="25">
        <f t="shared" ref="G72" si="14">K$13</f>
        <v>90</v>
      </c>
      <c r="H72" s="25">
        <f t="shared" ref="H72" si="15">L$13</f>
        <v>100</v>
      </c>
      <c r="I72" s="25">
        <f t="shared" ref="I72" si="16">M$13</f>
        <v>110</v>
      </c>
      <c r="J72" s="25">
        <f t="shared" ref="J72" si="17">N$13</f>
        <v>120</v>
      </c>
      <c r="K72" s="51">
        <f t="shared" ref="K72" si="18">O$13</f>
        <v>0</v>
      </c>
    </row>
    <row r="73" spans="1:11" ht="15.75" thickTop="1" x14ac:dyDescent="0.25">
      <c r="A73" s="27">
        <f>F$14</f>
        <v>100000</v>
      </c>
      <c r="B73" s="9">
        <v>575.92999999999995</v>
      </c>
      <c r="C73" s="9">
        <v>531.02</v>
      </c>
      <c r="D73" s="9">
        <v>479.07</v>
      </c>
      <c r="E73" s="9">
        <v>442.81</v>
      </c>
      <c r="F73" s="9">
        <v>410.64</v>
      </c>
      <c r="G73" s="9">
        <v>393.81</v>
      </c>
      <c r="H73" s="9">
        <v>392.92</v>
      </c>
      <c r="I73" s="9">
        <v>415.13</v>
      </c>
      <c r="J73" s="9">
        <v>458.36</v>
      </c>
      <c r="K73" s="28"/>
    </row>
    <row r="74" spans="1:11" x14ac:dyDescent="0.25">
      <c r="A74" s="27">
        <f>G$14</f>
        <v>200000</v>
      </c>
      <c r="B74" s="9">
        <v>1350</v>
      </c>
      <c r="C74" s="9">
        <v>1309.1199999999999</v>
      </c>
      <c r="D74" s="9">
        <v>1290</v>
      </c>
      <c r="E74" s="9">
        <v>1240</v>
      </c>
      <c r="F74" s="9">
        <v>1215</v>
      </c>
      <c r="G74" s="9">
        <v>1205</v>
      </c>
      <c r="H74" s="9">
        <v>1200</v>
      </c>
      <c r="I74" s="9">
        <v>1280</v>
      </c>
      <c r="J74" s="9">
        <v>1370</v>
      </c>
      <c r="K74" s="28"/>
    </row>
    <row r="75" spans="1:11" x14ac:dyDescent="0.25">
      <c r="A75" s="27">
        <f>H$14</f>
        <v>0</v>
      </c>
      <c r="B75" s="9"/>
      <c r="C75" s="9"/>
      <c r="D75" s="9"/>
      <c r="E75" s="9"/>
      <c r="F75" s="9"/>
      <c r="G75" s="9"/>
      <c r="H75" s="9"/>
      <c r="I75" s="9"/>
      <c r="J75" s="9"/>
      <c r="K75" s="28"/>
    </row>
    <row r="76" spans="1:11" x14ac:dyDescent="0.25">
      <c r="A76" s="27">
        <f>I$14</f>
        <v>0</v>
      </c>
      <c r="B76" s="9"/>
      <c r="C76" s="9"/>
      <c r="D76" s="9"/>
      <c r="E76" s="9"/>
      <c r="F76" s="9"/>
      <c r="G76" s="9"/>
      <c r="H76" s="9"/>
      <c r="I76" s="9"/>
      <c r="J76" s="9"/>
      <c r="K76" s="28"/>
    </row>
    <row r="77" spans="1:11" x14ac:dyDescent="0.25">
      <c r="A77" s="27">
        <f>J$14</f>
        <v>0</v>
      </c>
      <c r="B77" s="9"/>
      <c r="C77" s="9"/>
      <c r="D77" s="9"/>
      <c r="E77" s="9"/>
      <c r="F77" s="9"/>
      <c r="G77" s="9"/>
      <c r="H77" s="9"/>
      <c r="I77" s="9"/>
      <c r="J77" s="9"/>
      <c r="K77" s="28"/>
    </row>
    <row r="78" spans="1:11" x14ac:dyDescent="0.25">
      <c r="A78" s="27">
        <f>K$14</f>
        <v>0</v>
      </c>
      <c r="B78" s="9"/>
      <c r="C78" s="9"/>
      <c r="D78" s="9"/>
      <c r="E78" s="9"/>
      <c r="F78" s="9"/>
      <c r="G78" s="9"/>
      <c r="H78" s="9"/>
      <c r="I78" s="9"/>
      <c r="J78" s="9"/>
      <c r="K78" s="28"/>
    </row>
    <row r="79" spans="1:11" x14ac:dyDescent="0.25">
      <c r="A79" s="27">
        <f>L$14</f>
        <v>0</v>
      </c>
      <c r="B79" s="9"/>
      <c r="C79" s="9"/>
      <c r="D79" s="9"/>
      <c r="E79" s="9"/>
      <c r="F79" s="9"/>
      <c r="G79" s="9"/>
      <c r="H79" s="9"/>
      <c r="I79" s="9"/>
      <c r="J79" s="9"/>
      <c r="K79" s="28"/>
    </row>
    <row r="80" spans="1:11" x14ac:dyDescent="0.25">
      <c r="A80" s="27">
        <f>M$14</f>
        <v>0</v>
      </c>
      <c r="B80" s="9"/>
      <c r="C80" s="9"/>
      <c r="D80" s="9"/>
      <c r="E80" s="9"/>
      <c r="F80" s="9"/>
      <c r="G80" s="9"/>
      <c r="H80" s="9"/>
      <c r="I80" s="9"/>
      <c r="J80" s="9"/>
      <c r="K80" s="28"/>
    </row>
    <row r="81" spans="1:11" x14ac:dyDescent="0.25">
      <c r="A81" s="27">
        <f>N$14</f>
        <v>0</v>
      </c>
      <c r="B81" s="9"/>
      <c r="C81" s="9"/>
      <c r="D81" s="9"/>
      <c r="E81" s="9"/>
      <c r="F81" s="9"/>
      <c r="G81" s="9"/>
      <c r="H81" s="9"/>
      <c r="I81" s="9"/>
      <c r="J81" s="9"/>
      <c r="K81" s="28"/>
    </row>
    <row r="82" spans="1:11" ht="15.75" thickBot="1" x14ac:dyDescent="0.3">
      <c r="A82" s="29">
        <f>O$14</f>
        <v>0</v>
      </c>
      <c r="B82" s="20"/>
      <c r="C82" s="20"/>
      <c r="D82" s="20"/>
      <c r="E82" s="20"/>
      <c r="F82" s="20"/>
      <c r="G82" s="20"/>
      <c r="H82" s="20"/>
      <c r="I82" s="20"/>
      <c r="J82" s="20"/>
      <c r="K82" s="30"/>
    </row>
    <row r="89" spans="1:11" ht="15.75" thickBot="1" x14ac:dyDescent="0.3"/>
    <row r="90" spans="1:11" x14ac:dyDescent="0.25">
      <c r="A90" s="75"/>
      <c r="B90" s="76"/>
      <c r="C90" s="76"/>
      <c r="D90" s="76"/>
      <c r="E90" s="76"/>
      <c r="F90" s="76"/>
      <c r="G90" s="76"/>
      <c r="H90" s="76"/>
      <c r="I90" s="76"/>
      <c r="J90" s="76"/>
      <c r="K90" s="77"/>
    </row>
    <row r="91" spans="1:11" x14ac:dyDescent="0.25">
      <c r="A91" s="23" t="s">
        <v>21</v>
      </c>
      <c r="B91" s="72" t="s">
        <v>20</v>
      </c>
      <c r="C91" s="73"/>
      <c r="D91" s="73"/>
      <c r="E91" s="73"/>
      <c r="F91" s="73"/>
      <c r="G91" s="73"/>
      <c r="H91" s="73"/>
      <c r="I91" s="73"/>
      <c r="J91" s="73"/>
      <c r="K91" s="74"/>
    </row>
    <row r="92" spans="1:11" ht="15.75" thickBot="1" x14ac:dyDescent="0.3">
      <c r="A92" s="24"/>
      <c r="B92" s="25">
        <f>F$8</f>
        <v>0</v>
      </c>
      <c r="C92" s="25">
        <f t="shared" ref="C92" si="19">G$8</f>
        <v>0</v>
      </c>
      <c r="D92" s="25">
        <f t="shared" ref="D92" si="20">H$8</f>
        <v>0</v>
      </c>
      <c r="E92" s="25">
        <f t="shared" ref="E92" si="21">I$8</f>
        <v>0</v>
      </c>
      <c r="F92" s="25">
        <f t="shared" ref="F92" si="22">J$8</f>
        <v>0</v>
      </c>
      <c r="G92" s="25">
        <f t="shared" ref="G92" si="23">K$8</f>
        <v>0</v>
      </c>
      <c r="H92" s="25">
        <f t="shared" ref="H92" si="24">L$8</f>
        <v>0</v>
      </c>
      <c r="I92" s="25">
        <f t="shared" ref="I92" si="25">M$8</f>
        <v>0</v>
      </c>
      <c r="J92" s="25">
        <f t="shared" ref="J92" si="26">N$8</f>
        <v>0</v>
      </c>
      <c r="K92" s="26">
        <f>O$8</f>
        <v>0</v>
      </c>
    </row>
    <row r="93" spans="1:11" ht="15.75" thickTop="1" x14ac:dyDescent="0.25">
      <c r="A93" s="27">
        <f>F$10</f>
        <v>0</v>
      </c>
      <c r="B93" s="9"/>
      <c r="C93" s="9"/>
      <c r="D93" s="9"/>
      <c r="E93" s="9"/>
      <c r="F93" s="9"/>
      <c r="G93" s="9"/>
      <c r="H93" s="9"/>
      <c r="I93" s="9"/>
      <c r="J93" s="9"/>
      <c r="K93" s="28"/>
    </row>
    <row r="94" spans="1:11" x14ac:dyDescent="0.25">
      <c r="A94" s="27">
        <f>G$10</f>
        <v>0</v>
      </c>
      <c r="B94" s="9"/>
      <c r="C94" s="9"/>
      <c r="D94" s="9"/>
      <c r="E94" s="9"/>
      <c r="F94" s="9"/>
      <c r="G94" s="9"/>
      <c r="H94" s="9"/>
      <c r="I94" s="9"/>
      <c r="J94" s="9"/>
      <c r="K94" s="28"/>
    </row>
    <row r="95" spans="1:11" x14ac:dyDescent="0.25">
      <c r="A95" s="27">
        <f>H$10</f>
        <v>0</v>
      </c>
      <c r="B95" s="9"/>
      <c r="C95" s="9"/>
      <c r="D95" s="9"/>
      <c r="E95" s="9"/>
      <c r="F95" s="9"/>
      <c r="G95" s="9"/>
      <c r="H95" s="9"/>
      <c r="I95" s="9"/>
      <c r="J95" s="9"/>
      <c r="K95" s="28"/>
    </row>
    <row r="96" spans="1:11" x14ac:dyDescent="0.25">
      <c r="A96" s="27">
        <f>I$10</f>
        <v>0</v>
      </c>
      <c r="B96" s="9"/>
      <c r="C96" s="9"/>
      <c r="D96" s="9"/>
      <c r="E96" s="9"/>
      <c r="F96" s="9"/>
      <c r="G96" s="9"/>
      <c r="H96" s="9"/>
      <c r="I96" s="9"/>
      <c r="J96" s="9"/>
      <c r="K96" s="28"/>
    </row>
    <row r="97" spans="1:11" x14ac:dyDescent="0.25">
      <c r="A97" s="27">
        <f>J$10</f>
        <v>0</v>
      </c>
      <c r="B97" s="9"/>
      <c r="C97" s="9"/>
      <c r="D97" s="9"/>
      <c r="E97" s="9"/>
      <c r="F97" s="9"/>
      <c r="G97" s="9"/>
      <c r="H97" s="9"/>
      <c r="I97" s="9"/>
      <c r="J97" s="9"/>
      <c r="K97" s="28"/>
    </row>
    <row r="98" spans="1:11" x14ac:dyDescent="0.25">
      <c r="A98" s="27">
        <f>K$10</f>
        <v>0</v>
      </c>
      <c r="B98" s="9"/>
      <c r="C98" s="9"/>
      <c r="D98" s="9"/>
      <c r="E98" s="9"/>
      <c r="F98" s="9"/>
      <c r="G98" s="9"/>
      <c r="H98" s="9"/>
      <c r="I98" s="9"/>
      <c r="J98" s="9"/>
      <c r="K98" s="28"/>
    </row>
    <row r="99" spans="1:11" x14ac:dyDescent="0.25">
      <c r="A99" s="27">
        <f>L$10</f>
        <v>0</v>
      </c>
      <c r="B99" s="9"/>
      <c r="C99" s="9"/>
      <c r="D99" s="9"/>
      <c r="E99" s="9"/>
      <c r="F99" s="9"/>
      <c r="G99" s="9"/>
      <c r="H99" s="9"/>
      <c r="I99" s="9"/>
      <c r="J99" s="9"/>
      <c r="K99" s="28"/>
    </row>
    <row r="100" spans="1:11" x14ac:dyDescent="0.25">
      <c r="A100" s="27">
        <f>M$10</f>
        <v>0</v>
      </c>
      <c r="B100" s="9"/>
      <c r="C100" s="9"/>
      <c r="D100" s="9"/>
      <c r="E100" s="9"/>
      <c r="F100" s="9"/>
      <c r="G100" s="9"/>
      <c r="H100" s="9"/>
      <c r="I100" s="9"/>
      <c r="J100" s="9"/>
      <c r="K100" s="28"/>
    </row>
    <row r="101" spans="1:11" x14ac:dyDescent="0.25">
      <c r="A101" s="27">
        <f>N$10</f>
        <v>0</v>
      </c>
      <c r="B101" s="9"/>
      <c r="C101" s="9"/>
      <c r="D101" s="9"/>
      <c r="E101" s="9"/>
      <c r="F101" s="9"/>
      <c r="G101" s="9"/>
      <c r="H101" s="9"/>
      <c r="I101" s="9"/>
      <c r="J101" s="9"/>
      <c r="K101" s="28"/>
    </row>
    <row r="102" spans="1:11" ht="15.75" thickBot="1" x14ac:dyDescent="0.3">
      <c r="A102" s="29">
        <f>O$10</f>
        <v>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30"/>
    </row>
    <row r="105" spans="1:11" x14ac:dyDescent="0.25">
      <c r="B105" s="9"/>
      <c r="C105" s="9"/>
    </row>
    <row r="106" spans="1:11" x14ac:dyDescent="0.25">
      <c r="B106" s="9"/>
      <c r="C106" s="9"/>
    </row>
    <row r="107" spans="1:11" x14ac:dyDescent="0.25">
      <c r="B107" s="9"/>
      <c r="C107" s="9"/>
    </row>
    <row r="108" spans="1:11" x14ac:dyDescent="0.25">
      <c r="B108" s="9"/>
      <c r="C108" s="9"/>
    </row>
    <row r="109" spans="1:11" x14ac:dyDescent="0.25">
      <c r="B109" s="9"/>
      <c r="C109" s="9"/>
    </row>
  </sheetData>
  <mergeCells count="8">
    <mergeCell ref="B91:K91"/>
    <mergeCell ref="A90:K90"/>
    <mergeCell ref="A30:K30"/>
    <mergeCell ref="B31:K31"/>
    <mergeCell ref="A50:K50"/>
    <mergeCell ref="B51:K51"/>
    <mergeCell ref="A70:K70"/>
    <mergeCell ref="B71:K71"/>
  </mergeCell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7583-2F94-4C44-B797-F29E5519DCF0}">
  <dimension ref="A1:P148"/>
  <sheetViews>
    <sheetView zoomScale="115" zoomScaleNormal="115" workbookViewId="0">
      <selection activeCell="C13" sqref="C13"/>
    </sheetView>
  </sheetViews>
  <sheetFormatPr baseColWidth="10" defaultColWidth="9.140625" defaultRowHeight="15" x14ac:dyDescent="0.25"/>
  <cols>
    <col min="1" max="1" width="23.140625" bestFit="1" customWidth="1"/>
    <col min="2" max="2" width="85.85546875" customWidth="1"/>
    <col min="5" max="5" width="11.28515625" customWidth="1"/>
    <col min="6" max="6" width="11.85546875" customWidth="1"/>
  </cols>
  <sheetData>
    <row r="1" spans="1:16" ht="15.75" thickBot="1" x14ac:dyDescent="0.3">
      <c r="A1" s="1" t="s">
        <v>0</v>
      </c>
      <c r="B1" s="2" t="s">
        <v>40</v>
      </c>
      <c r="C1" s="2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5" t="s">
        <v>14</v>
      </c>
    </row>
    <row r="2" spans="1:16" ht="15.75" thickTop="1" x14ac:dyDescent="0.25">
      <c r="A2" s="35" t="s">
        <v>23</v>
      </c>
      <c r="B2" t="s">
        <v>113</v>
      </c>
      <c r="C2" t="s">
        <v>17</v>
      </c>
      <c r="D2" s="7" t="s">
        <v>24</v>
      </c>
      <c r="E2" s="8">
        <v>4.2731578289999996</v>
      </c>
      <c r="F2">
        <v>17.849260110101302</v>
      </c>
      <c r="G2">
        <v>24.9453129876118</v>
      </c>
      <c r="H2">
        <v>0.33895304570207702</v>
      </c>
      <c r="I2">
        <v>-38.860368314125303</v>
      </c>
      <c r="J2" s="9"/>
      <c r="K2" s="10"/>
      <c r="L2" s="10"/>
      <c r="M2" s="10"/>
      <c r="N2" s="10"/>
      <c r="O2" s="11"/>
      <c r="P2" s="12" t="s">
        <v>18</v>
      </c>
    </row>
    <row r="3" spans="1:16" x14ac:dyDescent="0.25">
      <c r="A3" s="35" t="s">
        <v>25</v>
      </c>
      <c r="B3" t="s">
        <v>114</v>
      </c>
      <c r="C3" t="s">
        <v>17</v>
      </c>
      <c r="D3" s="13" t="s">
        <v>26</v>
      </c>
      <c r="E3" s="8">
        <v>42.991107300000003</v>
      </c>
      <c r="F3">
        <v>12.127089495715699</v>
      </c>
      <c r="G3">
        <v>12.2293142413754</v>
      </c>
      <c r="H3">
        <v>25.301413578706502</v>
      </c>
      <c r="I3">
        <v>-6.6667100196750901</v>
      </c>
      <c r="J3" s="9"/>
      <c r="K3" s="10"/>
      <c r="L3" s="10"/>
      <c r="M3" s="10"/>
      <c r="N3" s="10"/>
      <c r="O3" s="14"/>
      <c r="P3" s="12" t="s">
        <v>19</v>
      </c>
    </row>
    <row r="4" spans="1:16" x14ac:dyDescent="0.25">
      <c r="A4" s="35" t="s">
        <v>123</v>
      </c>
      <c r="B4" t="s">
        <v>115</v>
      </c>
      <c r="C4" t="s">
        <v>17</v>
      </c>
      <c r="D4" s="13" t="s">
        <v>119</v>
      </c>
      <c r="E4" s="8">
        <v>9.7246885970000001</v>
      </c>
      <c r="F4">
        <v>10.516921766555001</v>
      </c>
      <c r="G4">
        <v>-27.571104266694402</v>
      </c>
      <c r="H4">
        <v>27.163550370275701</v>
      </c>
      <c r="I4">
        <v>-0.38467927355436998</v>
      </c>
      <c r="J4" s="53"/>
      <c r="K4" s="10"/>
      <c r="L4" s="10"/>
      <c r="M4" s="10"/>
      <c r="N4" s="10"/>
      <c r="O4" s="14"/>
      <c r="P4" s="12" t="s">
        <v>18</v>
      </c>
    </row>
    <row r="5" spans="1:16" x14ac:dyDescent="0.25">
      <c r="A5" s="35" t="s">
        <v>124</v>
      </c>
      <c r="B5" t="s">
        <v>116</v>
      </c>
      <c r="C5" t="s">
        <v>17</v>
      </c>
      <c r="D5" s="13" t="s">
        <v>120</v>
      </c>
      <c r="E5" s="8">
        <v>-14.533938790000001</v>
      </c>
      <c r="F5">
        <v>26.556151819984201</v>
      </c>
      <c r="G5">
        <v>-7.8163002701470798</v>
      </c>
      <c r="H5">
        <v>6.6441597154901801</v>
      </c>
      <c r="I5">
        <v>-39.917950050547802</v>
      </c>
      <c r="J5" s="53"/>
      <c r="K5" s="10"/>
      <c r="L5" s="10"/>
      <c r="M5" s="10"/>
      <c r="N5" s="10"/>
      <c r="O5" s="14"/>
      <c r="P5" s="12" t="s">
        <v>19</v>
      </c>
    </row>
    <row r="6" spans="1:16" x14ac:dyDescent="0.25">
      <c r="A6" s="35" t="s">
        <v>125</v>
      </c>
      <c r="B6" t="s">
        <v>117</v>
      </c>
      <c r="C6" t="s">
        <v>17</v>
      </c>
      <c r="D6" s="13" t="s">
        <v>121</v>
      </c>
      <c r="E6" s="8">
        <v>2.6207831810000002</v>
      </c>
      <c r="F6">
        <v>0.30161335007870399</v>
      </c>
      <c r="G6">
        <v>0.49189995274083698</v>
      </c>
      <c r="H6">
        <v>0.20191930655947599</v>
      </c>
      <c r="I6">
        <v>1.62535057173978</v>
      </c>
      <c r="J6" s="53"/>
      <c r="K6" s="10"/>
      <c r="L6" s="10"/>
      <c r="M6" s="10"/>
      <c r="N6" s="10"/>
      <c r="O6" s="14"/>
      <c r="P6" s="12" t="s">
        <v>18</v>
      </c>
    </row>
    <row r="7" spans="1:16" x14ac:dyDescent="0.25">
      <c r="A7" s="35" t="s">
        <v>126</v>
      </c>
      <c r="B7" t="s">
        <v>118</v>
      </c>
      <c r="C7" t="s">
        <v>17</v>
      </c>
      <c r="D7" s="13" t="s">
        <v>122</v>
      </c>
      <c r="E7" s="8">
        <v>1900.8204800000001</v>
      </c>
      <c r="F7">
        <v>1659.26747806403</v>
      </c>
      <c r="G7">
        <v>112.799023573786</v>
      </c>
      <c r="H7">
        <v>22.2022507076762</v>
      </c>
      <c r="I7">
        <v>106.551727645328</v>
      </c>
      <c r="J7" s="53"/>
      <c r="K7" s="10"/>
      <c r="L7" s="10"/>
      <c r="M7" s="10"/>
      <c r="N7" s="10"/>
      <c r="O7" s="14"/>
      <c r="P7" s="12" t="s">
        <v>19</v>
      </c>
    </row>
    <row r="8" spans="1:16" x14ac:dyDescent="0.25">
      <c r="A8" s="78" t="s">
        <v>156</v>
      </c>
      <c r="B8" t="s">
        <v>157</v>
      </c>
      <c r="D8" s="13" t="s">
        <v>158</v>
      </c>
      <c r="E8" s="8">
        <v>0.1</v>
      </c>
      <c r="F8" s="9"/>
      <c r="G8" s="10"/>
      <c r="H8" s="10"/>
      <c r="I8" s="10"/>
      <c r="J8" s="10"/>
      <c r="K8" s="10"/>
      <c r="L8" s="10"/>
      <c r="M8" s="10"/>
      <c r="N8" s="10"/>
      <c r="O8" s="14"/>
      <c r="P8" s="12"/>
    </row>
    <row r="9" spans="1:16" x14ac:dyDescent="0.25">
      <c r="A9" s="78"/>
      <c r="B9" t="s">
        <v>159</v>
      </c>
      <c r="D9" s="13" t="s">
        <v>160</v>
      </c>
      <c r="E9" s="8">
        <v>0.15</v>
      </c>
      <c r="F9" s="9"/>
      <c r="G9" s="10"/>
      <c r="H9" s="10"/>
      <c r="I9" s="10"/>
      <c r="J9" s="10"/>
      <c r="K9" s="10"/>
      <c r="L9" s="10"/>
      <c r="M9" s="10"/>
      <c r="N9" s="10"/>
      <c r="O9" s="14"/>
      <c r="P9" s="12"/>
    </row>
    <row r="10" spans="1:16" x14ac:dyDescent="0.25">
      <c r="A10" s="78" t="s">
        <v>161</v>
      </c>
      <c r="B10" t="s">
        <v>162</v>
      </c>
      <c r="D10" s="13" t="s">
        <v>164</v>
      </c>
      <c r="E10" s="8">
        <v>0.05</v>
      </c>
      <c r="F10" s="9"/>
      <c r="G10" s="9"/>
      <c r="H10" s="9"/>
      <c r="I10" s="9"/>
      <c r="J10" s="9"/>
      <c r="K10" s="9"/>
      <c r="L10" s="9"/>
      <c r="M10" s="10"/>
      <c r="N10" s="10"/>
      <c r="O10" s="14"/>
      <c r="P10" s="12"/>
    </row>
    <row r="11" spans="1:16" x14ac:dyDescent="0.25">
      <c r="A11" s="78"/>
      <c r="B11" t="s">
        <v>163</v>
      </c>
      <c r="D11" s="13" t="s">
        <v>165</v>
      </c>
      <c r="E11" s="8">
        <v>0.16</v>
      </c>
      <c r="F11" s="9"/>
      <c r="G11" s="10"/>
      <c r="H11" s="10"/>
      <c r="I11" s="10"/>
      <c r="J11" s="10"/>
      <c r="K11" s="10"/>
      <c r="L11" s="10"/>
      <c r="M11" s="10"/>
      <c r="N11" s="10"/>
      <c r="O11" s="14"/>
      <c r="P11" s="12"/>
    </row>
    <row r="12" spans="1:16" x14ac:dyDescent="0.25">
      <c r="A12" s="78" t="s">
        <v>166</v>
      </c>
      <c r="B12" t="s">
        <v>167</v>
      </c>
      <c r="D12" s="13" t="s">
        <v>169</v>
      </c>
      <c r="E12" s="8">
        <v>0.25</v>
      </c>
      <c r="F12" s="9"/>
      <c r="G12" s="10"/>
      <c r="H12" s="10"/>
      <c r="I12" s="10"/>
      <c r="J12" s="10"/>
      <c r="K12" s="10"/>
      <c r="L12" s="10"/>
      <c r="M12" s="10"/>
      <c r="N12" s="10"/>
      <c r="O12" s="14"/>
      <c r="P12" s="12"/>
    </row>
    <row r="13" spans="1:16" x14ac:dyDescent="0.25">
      <c r="A13" s="78"/>
      <c r="B13" t="s">
        <v>168</v>
      </c>
      <c r="D13" s="13" t="s">
        <v>170</v>
      </c>
      <c r="E13" s="8">
        <v>1</v>
      </c>
      <c r="F13" s="9"/>
      <c r="G13" s="9"/>
      <c r="H13" s="9"/>
      <c r="I13" s="9"/>
      <c r="J13" s="9"/>
      <c r="K13" s="9"/>
      <c r="L13" s="9"/>
      <c r="M13" s="9"/>
      <c r="N13" s="9"/>
      <c r="O13" s="15"/>
      <c r="P13" s="12"/>
    </row>
    <row r="14" spans="1:16" x14ac:dyDescent="0.25">
      <c r="A14" s="6"/>
      <c r="D14" s="13"/>
      <c r="E14" s="8"/>
      <c r="F14" s="9"/>
      <c r="G14" s="9"/>
      <c r="H14" s="9"/>
      <c r="I14" s="9"/>
      <c r="J14" s="9"/>
      <c r="K14" s="9"/>
      <c r="L14" s="9"/>
      <c r="M14" s="9"/>
      <c r="N14" s="9"/>
      <c r="O14" s="15"/>
      <c r="P14" s="12"/>
    </row>
    <row r="15" spans="1:16" x14ac:dyDescent="0.25">
      <c r="A15" s="6"/>
      <c r="D15" s="13"/>
      <c r="E15" s="8"/>
      <c r="F15" s="9"/>
      <c r="G15" s="9"/>
      <c r="H15" s="9"/>
      <c r="I15" s="9"/>
      <c r="J15" s="9"/>
      <c r="K15" s="9"/>
      <c r="L15" s="9"/>
      <c r="M15" s="9"/>
      <c r="N15" s="9"/>
      <c r="O15" s="15"/>
      <c r="P15" s="12"/>
    </row>
    <row r="16" spans="1:16" x14ac:dyDescent="0.25">
      <c r="A16" s="6"/>
      <c r="D16" s="13"/>
      <c r="E16" s="8"/>
      <c r="F16" s="9"/>
      <c r="G16" s="9"/>
      <c r="H16" s="9"/>
      <c r="I16" s="9"/>
      <c r="J16" s="9"/>
      <c r="K16" s="9"/>
      <c r="L16" s="9"/>
      <c r="M16" s="9"/>
      <c r="N16" s="9"/>
      <c r="O16" s="15"/>
      <c r="P16" s="12"/>
    </row>
    <row r="17" spans="1:16" x14ac:dyDescent="0.25">
      <c r="A17" s="6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15"/>
      <c r="P17" s="12"/>
    </row>
    <row r="18" spans="1:16" x14ac:dyDescent="0.25">
      <c r="A18" s="6"/>
      <c r="D18" s="13"/>
      <c r="E18" s="8"/>
      <c r="F18" s="9"/>
      <c r="G18" s="9"/>
      <c r="H18" s="9"/>
      <c r="I18" s="9"/>
      <c r="J18" s="9"/>
      <c r="K18" s="9"/>
      <c r="L18" s="9"/>
      <c r="M18" s="9"/>
      <c r="N18" s="9"/>
      <c r="O18" s="15"/>
      <c r="P18" s="12"/>
    </row>
    <row r="19" spans="1:16" x14ac:dyDescent="0.25">
      <c r="A19" s="6"/>
      <c r="D19" s="13"/>
      <c r="E19" s="8"/>
      <c r="F19" s="9"/>
      <c r="G19" s="9"/>
      <c r="H19" s="9"/>
      <c r="I19" s="9"/>
      <c r="J19" s="9"/>
      <c r="K19" s="9"/>
      <c r="L19" s="9"/>
      <c r="M19" s="9"/>
      <c r="N19" s="9"/>
      <c r="O19" s="15"/>
      <c r="P19" s="12"/>
    </row>
    <row r="20" spans="1:16" x14ac:dyDescent="0.25">
      <c r="A20" s="6"/>
      <c r="D20" s="13"/>
      <c r="E20" s="8"/>
      <c r="F20" s="9"/>
      <c r="G20" s="9"/>
      <c r="H20" s="9"/>
      <c r="I20" s="9"/>
      <c r="J20" s="9"/>
      <c r="K20" s="9"/>
      <c r="L20" s="9"/>
      <c r="M20" s="9"/>
      <c r="N20" s="9"/>
      <c r="O20" s="15"/>
      <c r="P20" s="12"/>
    </row>
    <row r="21" spans="1:16" x14ac:dyDescent="0.25">
      <c r="A21" s="6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15"/>
      <c r="P21" s="12"/>
    </row>
    <row r="22" spans="1:16" x14ac:dyDescent="0.25">
      <c r="A22" s="6"/>
      <c r="D22" s="13"/>
      <c r="E22" s="8"/>
      <c r="F22" s="9"/>
      <c r="G22" s="9"/>
      <c r="H22" s="9"/>
      <c r="I22" s="9"/>
      <c r="J22" s="9"/>
      <c r="K22" s="9"/>
      <c r="L22" s="9"/>
      <c r="M22" s="9"/>
      <c r="N22" s="9"/>
      <c r="O22" s="15"/>
      <c r="P22" s="12"/>
    </row>
    <row r="23" spans="1:16" x14ac:dyDescent="0.25">
      <c r="A23" s="6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15"/>
      <c r="P23" s="12"/>
    </row>
    <row r="24" spans="1:16" ht="15.75" thickBot="1" x14ac:dyDescent="0.3">
      <c r="A24" s="16"/>
      <c r="B24" s="17"/>
      <c r="C24" s="17"/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22"/>
    </row>
    <row r="29" spans="1:16" x14ac:dyDescent="0.25">
      <c r="A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25">
      <c r="A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25">
      <c r="A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25">
      <c r="A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25">
      <c r="A33" s="9"/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25">
      <c r="A34" s="9"/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25">
      <c r="A35" s="9"/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25">
      <c r="A36" s="9"/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25">
      <c r="A37" s="9"/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25">
      <c r="A38" s="9"/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25">
      <c r="A39" s="9"/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25">
      <c r="A40" s="9"/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x14ac:dyDescent="0.25">
      <c r="A41" s="9"/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x14ac:dyDescent="0.25">
      <c r="A42" s="9"/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x14ac:dyDescent="0.25">
      <c r="A43" s="9"/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x14ac:dyDescent="0.25">
      <c r="A44" s="9"/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25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25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25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x14ac:dyDescent="0.25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4:16" x14ac:dyDescent="0.25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4:16" x14ac:dyDescent="0.25"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99" spans="4:16" x14ac:dyDescent="0.25">
      <c r="D99" t="s">
        <v>27</v>
      </c>
      <c r="E99" t="s">
        <v>38</v>
      </c>
      <c r="F99" t="s">
        <v>28</v>
      </c>
      <c r="G99" t="s">
        <v>29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O99" t="s">
        <v>37</v>
      </c>
      <c r="P99" t="s">
        <v>39</v>
      </c>
    </row>
    <row r="100" spans="4:16" x14ac:dyDescent="0.25">
      <c r="D100" s="9">
        <v>1E-3</v>
      </c>
      <c r="E100" s="9">
        <f>IFERROR(E$2*(1-EXP(-$D100/(E$2*E$3))),"")</f>
        <v>2.3260561104136418E-5</v>
      </c>
      <c r="F100" s="9">
        <f t="shared" ref="F100:O100" si="0">IFERROR(F$2*(1-EXP(-$D100/(F$2*F$3))),"")</f>
        <v>8.2459826033743852E-5</v>
      </c>
      <c r="G100" s="9">
        <f t="shared" si="0"/>
        <v>8.1770599828111631E-5</v>
      </c>
      <c r="H100" s="9">
        <f t="shared" si="0"/>
        <v>3.9521179196459974E-5</v>
      </c>
      <c r="I100" s="9">
        <f t="shared" si="0"/>
        <v>-1.4999873506779031E-4</v>
      </c>
      <c r="J100" s="9" t="str">
        <f t="shared" si="0"/>
        <v/>
      </c>
      <c r="K100" s="9" t="str">
        <f t="shared" si="0"/>
        <v/>
      </c>
      <c r="L100" s="9" t="str">
        <f t="shared" si="0"/>
        <v/>
      </c>
      <c r="M100" s="9" t="str">
        <f t="shared" si="0"/>
        <v/>
      </c>
      <c r="N100" s="9" t="str">
        <f t="shared" si="0"/>
        <v/>
      </c>
      <c r="O100" s="9" t="str">
        <f t="shared" si="0"/>
        <v/>
      </c>
      <c r="P100" s="9">
        <f>SUM(F100:O100)</f>
        <v>5.375286999052516E-5</v>
      </c>
    </row>
    <row r="101" spans="4:16" x14ac:dyDescent="0.25">
      <c r="D101" s="9">
        <v>2E-3</v>
      </c>
      <c r="E101" s="9">
        <f t="shared" ref="E101:O121" si="1">IFERROR(E$2*(1-EXP(-$D101/(E$2*E$3))),"")</f>
        <v>4.6520995591908796E-5</v>
      </c>
      <c r="F101" s="9">
        <f t="shared" si="1"/>
        <v>1.6491927111995122E-4</v>
      </c>
      <c r="G101" s="9">
        <f t="shared" si="1"/>
        <v>1.6354093161151267E-4</v>
      </c>
      <c r="H101" s="9">
        <f t="shared" si="1"/>
        <v>7.903775031037825E-5</v>
      </c>
      <c r="I101" s="9">
        <f t="shared" si="1"/>
        <v>-2.999968911517678E-4</v>
      </c>
      <c r="J101" s="9" t="str">
        <f t="shared" si="1"/>
        <v/>
      </c>
      <c r="K101" s="9" t="str">
        <f t="shared" si="1"/>
        <v/>
      </c>
      <c r="L101" s="9" t="str">
        <f t="shared" si="1"/>
        <v/>
      </c>
      <c r="M101" s="9" t="str">
        <f t="shared" si="1"/>
        <v/>
      </c>
      <c r="N101" s="9" t="str">
        <f t="shared" si="1"/>
        <v/>
      </c>
      <c r="O101" s="9" t="str">
        <f t="shared" si="1"/>
        <v/>
      </c>
      <c r="P101" s="9">
        <f t="shared" ref="P101:P121" si="2">SUM(F101:O101)</f>
        <v>1.0750106189007436E-4</v>
      </c>
    </row>
    <row r="102" spans="4:16" x14ac:dyDescent="0.25">
      <c r="D102" s="9">
        <v>5.0000000000000001E-3</v>
      </c>
      <c r="E102" s="9">
        <f t="shared" si="1"/>
        <v>1.1630153935988818E-4</v>
      </c>
      <c r="F102" s="9">
        <f t="shared" si="1"/>
        <v>4.1229532071118962E-4</v>
      </c>
      <c r="G102" s="9">
        <f t="shared" si="1"/>
        <v>4.0885031871283861E-4</v>
      </c>
      <c r="H102" s="9">
        <f t="shared" si="1"/>
        <v>1.9755982052962318E-4</v>
      </c>
      <c r="I102" s="9">
        <f t="shared" si="1"/>
        <v>-7.4998788550945203E-4</v>
      </c>
      <c r="J102" s="9" t="str">
        <f t="shared" si="1"/>
        <v/>
      </c>
      <c r="K102" s="9" t="str">
        <f t="shared" si="1"/>
        <v/>
      </c>
      <c r="L102" s="9" t="str">
        <f t="shared" si="1"/>
        <v/>
      </c>
      <c r="M102" s="9" t="str">
        <f t="shared" si="1"/>
        <v/>
      </c>
      <c r="N102" s="9" t="str">
        <f t="shared" si="1"/>
        <v/>
      </c>
      <c r="O102" s="9" t="str">
        <f t="shared" si="1"/>
        <v/>
      </c>
      <c r="P102" s="9">
        <f t="shared" si="2"/>
        <v>2.6871757444419926E-4</v>
      </c>
    </row>
    <row r="103" spans="4:16" x14ac:dyDescent="0.25">
      <c r="D103" s="9">
        <v>0.01</v>
      </c>
      <c r="E103" s="9">
        <f t="shared" si="1"/>
        <v>2.3259991336807968E-4</v>
      </c>
      <c r="F103" s="9">
        <f t="shared" si="1"/>
        <v>8.2458111792420752E-4</v>
      </c>
      <c r="G103" s="9">
        <f t="shared" si="1"/>
        <v>8.1769393642423078E-4</v>
      </c>
      <c r="H103" s="9">
        <f t="shared" si="1"/>
        <v>3.9500449271294706E-4</v>
      </c>
      <c r="I103" s="9">
        <f t="shared" si="1"/>
        <v>-1.499961296583215E-3</v>
      </c>
      <c r="J103" s="9" t="str">
        <f t="shared" si="1"/>
        <v/>
      </c>
      <c r="K103" s="9" t="str">
        <f t="shared" si="1"/>
        <v/>
      </c>
      <c r="L103" s="9" t="str">
        <f t="shared" si="1"/>
        <v/>
      </c>
      <c r="M103" s="9" t="str">
        <f t="shared" si="1"/>
        <v/>
      </c>
      <c r="N103" s="9" t="str">
        <f t="shared" si="1"/>
        <v/>
      </c>
      <c r="O103" s="9" t="str">
        <f t="shared" si="1"/>
        <v/>
      </c>
      <c r="P103" s="9">
        <f t="shared" si="2"/>
        <v>5.3731825047817028E-4</v>
      </c>
    </row>
    <row r="104" spans="4:16" x14ac:dyDescent="0.25">
      <c r="D104" s="9">
        <v>0.02</v>
      </c>
      <c r="E104" s="9">
        <f t="shared" si="1"/>
        <v>4.6518716567284962E-4</v>
      </c>
      <c r="F104" s="9">
        <f t="shared" si="1"/>
        <v>1.6491241427276616E-3</v>
      </c>
      <c r="G104" s="9">
        <f t="shared" si="1"/>
        <v>1.6353610692802544E-3</v>
      </c>
      <c r="H104" s="9">
        <f t="shared" si="1"/>
        <v>7.8954866045979303E-4</v>
      </c>
      <c r="I104" s="9">
        <f t="shared" si="1"/>
        <v>-2.9998646965497238E-3</v>
      </c>
      <c r="J104" s="9" t="str">
        <f t="shared" si="1"/>
        <v/>
      </c>
      <c r="K104" s="9" t="str">
        <f t="shared" si="1"/>
        <v/>
      </c>
      <c r="L104" s="9" t="str">
        <f t="shared" si="1"/>
        <v/>
      </c>
      <c r="M104" s="9" t="str">
        <f t="shared" si="1"/>
        <v/>
      </c>
      <c r="N104" s="9" t="str">
        <f t="shared" si="1"/>
        <v/>
      </c>
      <c r="O104" s="9" t="str">
        <f t="shared" si="1"/>
        <v/>
      </c>
      <c r="P104" s="9">
        <f t="shared" si="2"/>
        <v>1.0741691759179849E-3</v>
      </c>
    </row>
    <row r="105" spans="4:16" x14ac:dyDescent="0.25">
      <c r="D105" s="9">
        <v>0.05</v>
      </c>
      <c r="E105" s="9">
        <f t="shared" si="1"/>
        <v>1.162872963102935E-3</v>
      </c>
      <c r="F105" s="9">
        <f t="shared" si="1"/>
        <v>4.122524676010696E-3</v>
      </c>
      <c r="G105" s="9">
        <f t="shared" si="1"/>
        <v>4.0882016552322023E-3</v>
      </c>
      <c r="H105" s="9">
        <f t="shared" si="1"/>
        <v>1.9704245752513692E-3</v>
      </c>
      <c r="I105" s="9">
        <f t="shared" si="1"/>
        <v>-7.4992275390844939E-3</v>
      </c>
      <c r="J105" s="9" t="str">
        <f t="shared" si="1"/>
        <v/>
      </c>
      <c r="K105" s="9" t="str">
        <f t="shared" si="1"/>
        <v/>
      </c>
      <c r="L105" s="9" t="str">
        <f t="shared" si="1"/>
        <v/>
      </c>
      <c r="M105" s="9" t="str">
        <f t="shared" si="1"/>
        <v/>
      </c>
      <c r="N105" s="9" t="str">
        <f t="shared" si="1"/>
        <v/>
      </c>
      <c r="O105" s="9" t="str">
        <f t="shared" si="1"/>
        <v/>
      </c>
      <c r="P105" s="9">
        <f t="shared" si="2"/>
        <v>2.6819233674097746E-3</v>
      </c>
    </row>
    <row r="106" spans="4:16" x14ac:dyDescent="0.25">
      <c r="D106" s="9">
        <v>0.1</v>
      </c>
      <c r="E106" s="9">
        <f t="shared" si="1"/>
        <v>2.325429468545308E-3</v>
      </c>
      <c r="F106" s="9">
        <f t="shared" si="1"/>
        <v>8.244097199966563E-3</v>
      </c>
      <c r="G106" s="9">
        <f t="shared" si="1"/>
        <v>8.1757333091405614E-3</v>
      </c>
      <c r="H106" s="9">
        <f t="shared" si="1"/>
        <v>3.9293945462265138E-3</v>
      </c>
      <c r="I106" s="9">
        <f t="shared" si="1"/>
        <v>-1.4997007886175171E-2</v>
      </c>
      <c r="J106" s="9" t="str">
        <f t="shared" si="1"/>
        <v/>
      </c>
      <c r="K106" s="9" t="str">
        <f t="shared" si="1"/>
        <v/>
      </c>
      <c r="L106" s="9" t="str">
        <f t="shared" si="1"/>
        <v/>
      </c>
      <c r="M106" s="9" t="str">
        <f t="shared" si="1"/>
        <v/>
      </c>
      <c r="N106" s="9" t="str">
        <f t="shared" si="1"/>
        <v/>
      </c>
      <c r="O106" s="9" t="str">
        <f t="shared" si="1"/>
        <v/>
      </c>
      <c r="P106" s="9">
        <f t="shared" si="2"/>
        <v>5.3522171691584679E-3</v>
      </c>
    </row>
    <row r="107" spans="4:16" x14ac:dyDescent="0.25">
      <c r="D107" s="9">
        <v>0.2</v>
      </c>
      <c r="E107" s="9">
        <f t="shared" si="1"/>
        <v>4.6495934509022448E-3</v>
      </c>
      <c r="F107" s="9">
        <f t="shared" si="1"/>
        <v>1.6484386671309931E-2</v>
      </c>
      <c r="G107" s="9">
        <f t="shared" si="1"/>
        <v>1.6348787052176392E-2</v>
      </c>
      <c r="H107" s="9">
        <f t="shared" si="1"/>
        <v>7.8132366429450421E-3</v>
      </c>
      <c r="I107" s="9">
        <f t="shared" si="1"/>
        <v>-2.9988228121455442E-2</v>
      </c>
      <c r="J107" s="9" t="str">
        <f t="shared" si="1"/>
        <v/>
      </c>
      <c r="K107" s="9" t="str">
        <f t="shared" si="1"/>
        <v/>
      </c>
      <c r="L107" s="9" t="str">
        <f t="shared" si="1"/>
        <v/>
      </c>
      <c r="M107" s="9" t="str">
        <f t="shared" si="1"/>
        <v/>
      </c>
      <c r="N107" s="9" t="str">
        <f t="shared" si="1"/>
        <v/>
      </c>
      <c r="O107" s="9" t="str">
        <f t="shared" si="1"/>
        <v/>
      </c>
      <c r="P107" s="9">
        <f t="shared" si="2"/>
        <v>1.0658182244975924E-2</v>
      </c>
    </row>
    <row r="108" spans="4:16" x14ac:dyDescent="0.25">
      <c r="D108" s="9">
        <v>0.5</v>
      </c>
      <c r="E108" s="9">
        <f t="shared" si="1"/>
        <v>1.161449936567671E-2</v>
      </c>
      <c r="F108" s="9">
        <f t="shared" si="1"/>
        <v>4.118242629641361E-2</v>
      </c>
      <c r="G108" s="9">
        <f t="shared" si="1"/>
        <v>4.0851879665399764E-2</v>
      </c>
      <c r="H108" s="9">
        <f t="shared" si="1"/>
        <v>1.9196698474739735E-2</v>
      </c>
      <c r="I108" s="9">
        <f t="shared" si="1"/>
        <v>-7.4927185253326339E-2</v>
      </c>
      <c r="J108" s="9" t="str">
        <f t="shared" si="1"/>
        <v/>
      </c>
      <c r="K108" s="9" t="str">
        <f t="shared" si="1"/>
        <v/>
      </c>
      <c r="L108" s="9" t="str">
        <f t="shared" si="1"/>
        <v/>
      </c>
      <c r="M108" s="9" t="str">
        <f t="shared" si="1"/>
        <v/>
      </c>
      <c r="N108" s="9" t="str">
        <f t="shared" si="1"/>
        <v/>
      </c>
      <c r="O108" s="9" t="str">
        <f t="shared" si="1"/>
        <v/>
      </c>
      <c r="P108" s="9">
        <f t="shared" si="2"/>
        <v>2.6303819183226773E-2</v>
      </c>
    </row>
    <row r="109" spans="4:16" x14ac:dyDescent="0.25">
      <c r="D109" s="9">
        <v>1</v>
      </c>
      <c r="E109" s="9">
        <f t="shared" si="1"/>
        <v>2.319743036881829E-2</v>
      </c>
      <c r="F109" s="9">
        <f t="shared" si="1"/>
        <v>8.2269835083688486E-2</v>
      </c>
      <c r="G109" s="9">
        <f t="shared" si="1"/>
        <v>8.1636857942428143E-2</v>
      </c>
      <c r="H109" s="9">
        <f t="shared" si="1"/>
        <v>3.7306186679494258E-2</v>
      </c>
      <c r="I109" s="9">
        <f t="shared" si="1"/>
        <v>-0.14970990241915469</v>
      </c>
      <c r="J109" s="9" t="str">
        <f t="shared" si="1"/>
        <v/>
      </c>
      <c r="K109" s="9" t="str">
        <f t="shared" si="1"/>
        <v/>
      </c>
      <c r="L109" s="9" t="str">
        <f t="shared" si="1"/>
        <v/>
      </c>
      <c r="M109" s="9" t="str">
        <f t="shared" si="1"/>
        <v/>
      </c>
      <c r="N109" s="9" t="str">
        <f t="shared" si="1"/>
        <v/>
      </c>
      <c r="O109" s="9" t="str">
        <f t="shared" si="1"/>
        <v/>
      </c>
      <c r="P109" s="9">
        <f t="shared" si="2"/>
        <v>5.1502977286456197E-2</v>
      </c>
    </row>
    <row r="110" spans="4:16" x14ac:dyDescent="0.25">
      <c r="D110" s="9">
        <v>2</v>
      </c>
      <c r="E110" s="9">
        <f t="shared" si="1"/>
        <v>4.6268930267186176E-2</v>
      </c>
      <c r="F110" s="9">
        <f t="shared" si="1"/>
        <v>0.16416047653565563</v>
      </c>
      <c r="G110" s="9">
        <f t="shared" si="1"/>
        <v>0.1630065483981997</v>
      </c>
      <c r="H110" s="9">
        <f t="shared" si="1"/>
        <v>7.0506342797491364E-2</v>
      </c>
      <c r="I110" s="9">
        <f t="shared" si="1"/>
        <v>-0.298843046154468</v>
      </c>
      <c r="J110" s="9" t="str">
        <f t="shared" si="1"/>
        <v/>
      </c>
      <c r="K110" s="9" t="str">
        <f t="shared" si="1"/>
        <v/>
      </c>
      <c r="L110" s="9" t="str">
        <f t="shared" si="1"/>
        <v/>
      </c>
      <c r="M110" s="9" t="str">
        <f t="shared" si="1"/>
        <v/>
      </c>
      <c r="N110" s="9" t="str">
        <f t="shared" si="1"/>
        <v/>
      </c>
      <c r="O110" s="9" t="str">
        <f t="shared" si="1"/>
        <v/>
      </c>
      <c r="P110" s="9">
        <f t="shared" si="2"/>
        <v>9.8830321576878655E-2</v>
      </c>
    </row>
    <row r="111" spans="4:16" x14ac:dyDescent="0.25">
      <c r="D111" s="9">
        <v>5</v>
      </c>
      <c r="E111" s="9">
        <f t="shared" si="1"/>
        <v>0.1147346649141754</v>
      </c>
      <c r="F111" s="9">
        <f t="shared" si="1"/>
        <v>0.40757467644581191</v>
      </c>
      <c r="G111" s="9">
        <f t="shared" si="1"/>
        <v>0.40552134395967071</v>
      </c>
      <c r="H111" s="9">
        <f t="shared" si="1"/>
        <v>0.14974662298449914</v>
      </c>
      <c r="I111" s="9">
        <f t="shared" si="1"/>
        <v>-0.74280410216739912</v>
      </c>
      <c r="J111" s="9" t="str">
        <f t="shared" si="1"/>
        <v/>
      </c>
      <c r="K111" s="9" t="str">
        <f t="shared" si="1"/>
        <v/>
      </c>
      <c r="L111" s="9" t="str">
        <f t="shared" si="1"/>
        <v/>
      </c>
      <c r="M111" s="9" t="str">
        <f t="shared" si="1"/>
        <v/>
      </c>
      <c r="N111" s="9" t="str">
        <f t="shared" si="1"/>
        <v/>
      </c>
      <c r="O111" s="9" t="str">
        <f t="shared" si="1"/>
        <v/>
      </c>
      <c r="P111" s="9">
        <f t="shared" si="2"/>
        <v>0.22003854122258271</v>
      </c>
    </row>
    <row r="112" spans="4:16" x14ac:dyDescent="0.25">
      <c r="D112" s="9">
        <v>10</v>
      </c>
      <c r="E112" s="9">
        <f t="shared" si="1"/>
        <v>0.22638869394740399</v>
      </c>
      <c r="F112" s="9">
        <f t="shared" si="1"/>
        <v>0.80584268606872944</v>
      </c>
      <c r="G112" s="9">
        <f t="shared" si="1"/>
        <v>0.80445036492509725</v>
      </c>
      <c r="H112" s="9">
        <f t="shared" si="1"/>
        <v>0.23333643935640525</v>
      </c>
      <c r="I112" s="9">
        <f t="shared" si="1"/>
        <v>-1.4714097302046318</v>
      </c>
      <c r="J112" s="9" t="str">
        <f t="shared" si="1"/>
        <v/>
      </c>
      <c r="K112" s="9" t="str">
        <f t="shared" si="1"/>
        <v/>
      </c>
      <c r="L112" s="9" t="str">
        <f t="shared" si="1"/>
        <v/>
      </c>
      <c r="M112" s="9" t="str">
        <f t="shared" si="1"/>
        <v/>
      </c>
      <c r="N112" s="9" t="str">
        <f t="shared" si="1"/>
        <v/>
      </c>
      <c r="O112" s="9" t="str">
        <f t="shared" si="1"/>
        <v/>
      </c>
      <c r="P112" s="9">
        <f t="shared" si="2"/>
        <v>0.3722197601456001</v>
      </c>
    </row>
    <row r="113" spans="4:16" x14ac:dyDescent="0.25">
      <c r="D113" s="9">
        <v>20</v>
      </c>
      <c r="E113" s="9">
        <f t="shared" si="1"/>
        <v>0.44078348483805951</v>
      </c>
      <c r="F113" s="9">
        <f t="shared" si="1"/>
        <v>1.575303895780185</v>
      </c>
      <c r="G113" s="9">
        <f t="shared" si="1"/>
        <v>1.582958365849811</v>
      </c>
      <c r="H113" s="9">
        <f t="shared" si="1"/>
        <v>0.30604327345656906</v>
      </c>
      <c r="I113" s="9">
        <f t="shared" si="1"/>
        <v>-2.8871059742003866</v>
      </c>
      <c r="J113" s="9" t="str">
        <f t="shared" si="1"/>
        <v/>
      </c>
      <c r="K113" s="9" t="str">
        <f t="shared" si="1"/>
        <v/>
      </c>
      <c r="L113" s="9" t="str">
        <f t="shared" si="1"/>
        <v/>
      </c>
      <c r="M113" s="9" t="str">
        <f t="shared" si="1"/>
        <v/>
      </c>
      <c r="N113" s="9" t="str">
        <f t="shared" si="1"/>
        <v/>
      </c>
      <c r="O113" s="9" t="str">
        <f t="shared" si="1"/>
        <v/>
      </c>
      <c r="P113" s="9">
        <f t="shared" si="2"/>
        <v>0.57719956088617863</v>
      </c>
    </row>
    <row r="114" spans="4:16" x14ac:dyDescent="0.25">
      <c r="D114" s="9">
        <v>50</v>
      </c>
      <c r="E114" s="9">
        <f t="shared" si="1"/>
        <v>1.0181921800044205</v>
      </c>
      <c r="F114" s="9">
        <f t="shared" si="1"/>
        <v>3.681456428420018</v>
      </c>
      <c r="G114" s="9">
        <f t="shared" si="1"/>
        <v>3.771060196551288</v>
      </c>
      <c r="H114" s="9">
        <f t="shared" si="1"/>
        <v>0.33795740445331285</v>
      </c>
      <c r="I114" s="9">
        <f t="shared" si="1"/>
        <v>-6.8206128007789806</v>
      </c>
      <c r="J114" s="9" t="str">
        <f t="shared" si="1"/>
        <v/>
      </c>
      <c r="K114" s="9" t="str">
        <f t="shared" si="1"/>
        <v/>
      </c>
      <c r="L114" s="9" t="str">
        <f t="shared" si="1"/>
        <v/>
      </c>
      <c r="M114" s="9" t="str">
        <f t="shared" si="1"/>
        <v/>
      </c>
      <c r="N114" s="9" t="str">
        <f t="shared" si="1"/>
        <v/>
      </c>
      <c r="O114" s="9" t="str">
        <f t="shared" si="1"/>
        <v/>
      </c>
      <c r="P114" s="9">
        <f t="shared" si="2"/>
        <v>0.96986122864563828</v>
      </c>
    </row>
    <row r="115" spans="4:16" x14ac:dyDescent="0.25">
      <c r="D115" s="9">
        <v>100</v>
      </c>
      <c r="E115" s="9">
        <f t="shared" si="1"/>
        <v>1.7937733082039127</v>
      </c>
      <c r="F115" s="9">
        <f t="shared" si="1"/>
        <v>6.6036028713978361</v>
      </c>
      <c r="G115" s="9">
        <f t="shared" si="1"/>
        <v>6.972037547757008</v>
      </c>
      <c r="H115" s="9">
        <f t="shared" si="1"/>
        <v>0.33895012110379175</v>
      </c>
      <c r="I115" s="9">
        <f t="shared" si="1"/>
        <v>-12.444099557818424</v>
      </c>
      <c r="J115" s="9" t="str">
        <f t="shared" si="1"/>
        <v/>
      </c>
      <c r="K115" s="9" t="str">
        <f t="shared" si="1"/>
        <v/>
      </c>
      <c r="L115" s="9" t="str">
        <f t="shared" si="1"/>
        <v/>
      </c>
      <c r="M115" s="9" t="str">
        <f t="shared" si="1"/>
        <v/>
      </c>
      <c r="N115" s="9" t="str">
        <f t="shared" si="1"/>
        <v/>
      </c>
      <c r="O115" s="9" t="str">
        <f t="shared" si="1"/>
        <v/>
      </c>
      <c r="P115" s="9">
        <f t="shared" si="2"/>
        <v>1.4704909824402126</v>
      </c>
    </row>
    <row r="116" spans="4:16" x14ac:dyDescent="0.25">
      <c r="D116" s="9">
        <v>200</v>
      </c>
      <c r="E116" s="9">
        <f t="shared" si="1"/>
        <v>2.8345618660229337</v>
      </c>
      <c r="F116" s="9">
        <f t="shared" si="1"/>
        <v>10.764103305263529</v>
      </c>
      <c r="G116" s="9">
        <f t="shared" si="1"/>
        <v>11.995440191976279</v>
      </c>
      <c r="H116" s="9">
        <f t="shared" si="1"/>
        <v>0.33895304567684265</v>
      </c>
      <c r="I116" s="9">
        <f t="shared" si="1"/>
        <v>-20.903275129504468</v>
      </c>
      <c r="J116" s="9" t="str">
        <f t="shared" si="1"/>
        <v/>
      </c>
      <c r="K116" s="9" t="str">
        <f t="shared" si="1"/>
        <v/>
      </c>
      <c r="L116" s="9" t="str">
        <f t="shared" si="1"/>
        <v/>
      </c>
      <c r="M116" s="9" t="str">
        <f t="shared" si="1"/>
        <v/>
      </c>
      <c r="N116" s="9" t="str">
        <f t="shared" si="1"/>
        <v/>
      </c>
      <c r="O116" s="9" t="str">
        <f t="shared" si="1"/>
        <v/>
      </c>
      <c r="P116" s="9">
        <f t="shared" si="2"/>
        <v>2.195221413412181</v>
      </c>
    </row>
    <row r="117" spans="4:16" x14ac:dyDescent="0.25">
      <c r="D117" s="9">
        <v>500</v>
      </c>
      <c r="E117" s="9">
        <f t="shared" si="1"/>
        <v>3.9921465882865359</v>
      </c>
      <c r="F117" s="9">
        <f t="shared" si="1"/>
        <v>16.077343260139045</v>
      </c>
      <c r="G117" s="9">
        <f t="shared" si="1"/>
        <v>20.101578600043865</v>
      </c>
      <c r="H117" s="9">
        <f t="shared" si="1"/>
        <v>0.33895304570207702</v>
      </c>
      <c r="I117" s="9">
        <f t="shared" si="1"/>
        <v>-33.219710919228895</v>
      </c>
      <c r="J117" s="9" t="str">
        <f t="shared" si="1"/>
        <v/>
      </c>
      <c r="K117" s="9" t="str">
        <f t="shared" si="1"/>
        <v/>
      </c>
      <c r="L117" s="9" t="str">
        <f t="shared" si="1"/>
        <v/>
      </c>
      <c r="M117" s="9" t="str">
        <f t="shared" si="1"/>
        <v/>
      </c>
      <c r="N117" s="9" t="str">
        <f t="shared" si="1"/>
        <v/>
      </c>
      <c r="O117" s="9" t="str">
        <f t="shared" si="1"/>
        <v/>
      </c>
      <c r="P117" s="9">
        <f t="shared" si="2"/>
        <v>3.2981639866560926</v>
      </c>
    </row>
    <row r="118" spans="4:16" x14ac:dyDescent="0.25">
      <c r="D118" s="9">
        <v>1000</v>
      </c>
      <c r="E118" s="9">
        <f t="shared" si="1"/>
        <v>4.254677978601916</v>
      </c>
      <c r="F118" s="9">
        <f t="shared" si="1"/>
        <v>17.673359859681209</v>
      </c>
      <c r="G118" s="9">
        <f t="shared" si="1"/>
        <v>24.004785088484635</v>
      </c>
      <c r="H118" s="9">
        <f t="shared" si="1"/>
        <v>0.33895304570207702</v>
      </c>
      <c r="I118" s="9">
        <f t="shared" si="1"/>
        <v>-38.041616016426822</v>
      </c>
      <c r="J118" s="9" t="str">
        <f t="shared" si="1"/>
        <v/>
      </c>
      <c r="K118" s="9" t="str">
        <f t="shared" si="1"/>
        <v/>
      </c>
      <c r="L118" s="9" t="str">
        <f t="shared" si="1"/>
        <v/>
      </c>
      <c r="M118" s="9" t="str">
        <f t="shared" si="1"/>
        <v/>
      </c>
      <c r="N118" s="9" t="str">
        <f t="shared" si="1"/>
        <v/>
      </c>
      <c r="O118" s="9" t="str">
        <f t="shared" si="1"/>
        <v/>
      </c>
      <c r="P118" s="9">
        <f t="shared" si="2"/>
        <v>3.975481977441099</v>
      </c>
    </row>
    <row r="119" spans="4:16" x14ac:dyDescent="0.25">
      <c r="D119" s="9">
        <v>2000</v>
      </c>
      <c r="E119" s="9">
        <f t="shared" si="1"/>
        <v>4.2730779103814038</v>
      </c>
      <c r="F119" s="9">
        <f t="shared" si="1"/>
        <v>17.847526654601914</v>
      </c>
      <c r="G119" s="9">
        <f t="shared" si="1"/>
        <v>24.909851707591947</v>
      </c>
      <c r="H119" s="9">
        <f t="shared" si="1"/>
        <v>0.33895304570207702</v>
      </c>
      <c r="I119" s="9">
        <f t="shared" si="1"/>
        <v>-38.843117954592735</v>
      </c>
      <c r="J119" s="9" t="str">
        <f t="shared" si="1"/>
        <v/>
      </c>
      <c r="K119" s="9" t="str">
        <f t="shared" si="1"/>
        <v/>
      </c>
      <c r="L119" s="9" t="str">
        <f t="shared" si="1"/>
        <v/>
      </c>
      <c r="M119" s="9" t="str">
        <f t="shared" si="1"/>
        <v/>
      </c>
      <c r="N119" s="9" t="str">
        <f t="shared" si="1"/>
        <v/>
      </c>
      <c r="O119" s="9" t="str">
        <f t="shared" si="1"/>
        <v/>
      </c>
      <c r="P119" s="9">
        <f t="shared" si="2"/>
        <v>4.2532134533032036</v>
      </c>
    </row>
    <row r="120" spans="4:16" x14ac:dyDescent="0.25">
      <c r="D120" s="9">
        <v>5000</v>
      </c>
      <c r="E120" s="9">
        <f t="shared" si="1"/>
        <v>4.2731578289935355</v>
      </c>
      <c r="F120" s="9">
        <f t="shared" si="1"/>
        <v>17.849260108442284</v>
      </c>
      <c r="G120" s="9">
        <f t="shared" si="1"/>
        <v>24.945311086959901</v>
      </c>
      <c r="H120" s="9">
        <f t="shared" si="1"/>
        <v>0.33895304570207702</v>
      </c>
      <c r="I120" s="9">
        <f t="shared" si="1"/>
        <v>-38.86036815278792</v>
      </c>
      <c r="J120" s="9" t="str">
        <f t="shared" si="1"/>
        <v/>
      </c>
      <c r="K120" s="9" t="str">
        <f t="shared" si="1"/>
        <v/>
      </c>
      <c r="L120" s="9" t="str">
        <f t="shared" si="1"/>
        <v/>
      </c>
      <c r="M120" s="9" t="str">
        <f t="shared" si="1"/>
        <v/>
      </c>
      <c r="N120" s="9" t="str">
        <f t="shared" si="1"/>
        <v/>
      </c>
      <c r="O120" s="9" t="str">
        <f t="shared" si="1"/>
        <v/>
      </c>
      <c r="P120" s="9">
        <f t="shared" si="2"/>
        <v>4.2731560883163411</v>
      </c>
    </row>
    <row r="121" spans="4:16" x14ac:dyDescent="0.25">
      <c r="D121" s="9">
        <v>10000</v>
      </c>
      <c r="E121" s="9">
        <f t="shared" si="1"/>
        <v>4.2731578289999996</v>
      </c>
      <c r="F121" s="9">
        <f t="shared" si="1"/>
        <v>17.849260110101302</v>
      </c>
      <c r="G121" s="9">
        <f t="shared" si="1"/>
        <v>24.945312987611654</v>
      </c>
      <c r="H121" s="9">
        <f t="shared" si="1"/>
        <v>0.33895304570207702</v>
      </c>
      <c r="I121" s="9">
        <f t="shared" si="1"/>
        <v>-38.860368314125303</v>
      </c>
      <c r="J121" s="9" t="str">
        <f t="shared" si="1"/>
        <v/>
      </c>
      <c r="K121" s="9" t="str">
        <f t="shared" si="1"/>
        <v/>
      </c>
      <c r="L121" s="9" t="str">
        <f t="shared" si="1"/>
        <v/>
      </c>
      <c r="M121" s="9" t="str">
        <f t="shared" si="1"/>
        <v/>
      </c>
      <c r="N121" s="9" t="str">
        <f t="shared" si="1"/>
        <v/>
      </c>
      <c r="O121" s="9" t="str">
        <f t="shared" si="1"/>
        <v/>
      </c>
      <c r="P121" s="9">
        <f t="shared" si="2"/>
        <v>4.2731578292897296</v>
      </c>
    </row>
    <row r="126" spans="4:16" x14ac:dyDescent="0.25">
      <c r="D126" t="s">
        <v>27</v>
      </c>
      <c r="E126" t="s">
        <v>38</v>
      </c>
      <c r="F126" t="s">
        <v>28</v>
      </c>
      <c r="G126" t="s">
        <v>29</v>
      </c>
      <c r="H126" t="s">
        <v>30</v>
      </c>
      <c r="I126" t="s">
        <v>31</v>
      </c>
      <c r="J126" t="s">
        <v>32</v>
      </c>
      <c r="K126" t="s">
        <v>33</v>
      </c>
      <c r="L126" t="s">
        <v>34</v>
      </c>
      <c r="M126" t="s">
        <v>35</v>
      </c>
      <c r="N126" t="s">
        <v>36</v>
      </c>
      <c r="O126" t="s">
        <v>37</v>
      </c>
      <c r="P126" t="s">
        <v>39</v>
      </c>
    </row>
    <row r="127" spans="4:16" x14ac:dyDescent="0.25">
      <c r="D127" s="9">
        <v>1E-3</v>
      </c>
      <c r="E127" s="9">
        <f>IFERROR(E$4*(1-EXP(-$D127/(E$4*E$5))),"")</f>
        <v>-6.8804716468873447E-5</v>
      </c>
      <c r="F127" s="9">
        <f t="shared" ref="F127:O142" si="3">IFERROR(F$4*(1-EXP(-$D127/(F$4*F$5))),"")</f>
        <v>3.7655990841997044E-5</v>
      </c>
      <c r="G127" s="9">
        <f t="shared" si="3"/>
        <v>-1.2793746981452719E-4</v>
      </c>
      <c r="H127" s="9">
        <f t="shared" si="3"/>
        <v>1.5050770487507481E-4</v>
      </c>
      <c r="I127" s="9">
        <f t="shared" si="3"/>
        <v>-2.5050570934785444E-5</v>
      </c>
      <c r="J127" s="9" t="str">
        <f t="shared" si="3"/>
        <v/>
      </c>
      <c r="K127" s="9" t="str">
        <f t="shared" si="3"/>
        <v/>
      </c>
      <c r="L127" s="9" t="str">
        <f t="shared" si="3"/>
        <v/>
      </c>
      <c r="M127" s="9" t="str">
        <f t="shared" si="3"/>
        <v/>
      </c>
      <c r="N127" s="9" t="str">
        <f t="shared" si="3"/>
        <v/>
      </c>
      <c r="O127" s="9" t="str">
        <f t="shared" si="3"/>
        <v/>
      </c>
      <c r="P127" s="9">
        <f>SUM(F127:O127)</f>
        <v>3.5175654967759222E-5</v>
      </c>
    </row>
    <row r="128" spans="4:16" x14ac:dyDescent="0.25">
      <c r="D128" s="9">
        <v>2E-3</v>
      </c>
      <c r="E128" s="9">
        <f t="shared" ref="E128:O148" si="4">IFERROR(E$4*(1-EXP(-$D128/(E$4*E$5))),"")</f>
        <v>-1.3760991974875398E-4</v>
      </c>
      <c r="F128" s="9">
        <f t="shared" si="3"/>
        <v>7.5311846857400839E-5</v>
      </c>
      <c r="G128" s="9">
        <f t="shared" si="3"/>
        <v>-2.5587434596195923E-4</v>
      </c>
      <c r="H128" s="9">
        <f t="shared" si="3"/>
        <v>3.0101457581714185E-4</v>
      </c>
      <c r="I128" s="9">
        <f t="shared" si="3"/>
        <v>-5.0099510559700599E-5</v>
      </c>
      <c r="J128" s="9" t="str">
        <f t="shared" si="3"/>
        <v/>
      </c>
      <c r="K128" s="9" t="str">
        <f t="shared" si="3"/>
        <v/>
      </c>
      <c r="L128" s="9" t="str">
        <f t="shared" si="3"/>
        <v/>
      </c>
      <c r="M128" s="9" t="str">
        <f t="shared" si="3"/>
        <v/>
      </c>
      <c r="N128" s="9" t="str">
        <f t="shared" si="3"/>
        <v/>
      </c>
      <c r="O128" s="9" t="str">
        <f t="shared" si="3"/>
        <v/>
      </c>
      <c r="P128" s="9">
        <f t="shared" ref="P128:P147" si="5">SUM(F128:O128)</f>
        <v>7.0352566152882855E-5</v>
      </c>
    </row>
    <row r="129" spans="4:16" x14ac:dyDescent="0.25">
      <c r="D129" s="9">
        <v>5.0000000000000001E-3</v>
      </c>
      <c r="E129" s="9">
        <f t="shared" si="4"/>
        <v>-3.4402845049330582E-4</v>
      </c>
      <c r="F129" s="9">
        <f t="shared" si="3"/>
        <v>1.8827860593821467E-4</v>
      </c>
      <c r="G129" s="9">
        <f t="shared" si="3"/>
        <v>-6.396814124445385E-4</v>
      </c>
      <c r="H129" s="9">
        <f t="shared" si="3"/>
        <v>7.5253018509354851E-4</v>
      </c>
      <c r="I129" s="9">
        <f t="shared" si="3"/>
        <v>-1.2523654263737173E-4</v>
      </c>
      <c r="J129" s="9" t="str">
        <f t="shared" si="3"/>
        <v/>
      </c>
      <c r="K129" s="9" t="str">
        <f t="shared" si="3"/>
        <v/>
      </c>
      <c r="L129" s="9" t="str">
        <f t="shared" si="3"/>
        <v/>
      </c>
      <c r="M129" s="9" t="str">
        <f t="shared" si="3"/>
        <v/>
      </c>
      <c r="N129" s="9" t="str">
        <f t="shared" si="3"/>
        <v/>
      </c>
      <c r="O129" s="9" t="str">
        <f t="shared" si="3"/>
        <v/>
      </c>
      <c r="P129" s="9">
        <f t="shared" si="5"/>
        <v>1.7589083594985298E-4</v>
      </c>
    </row>
    <row r="130" spans="4:16" x14ac:dyDescent="0.25">
      <c r="D130" s="9">
        <v>0.01</v>
      </c>
      <c r="E130" s="9">
        <f t="shared" si="4"/>
        <v>-6.8806907161807576E-4</v>
      </c>
      <c r="F130" s="9">
        <f t="shared" si="3"/>
        <v>3.7655384122911231E-4</v>
      </c>
      <c r="G130" s="9">
        <f t="shared" si="3"/>
        <v>-1.279347983542287E-3</v>
      </c>
      <c r="H130" s="9">
        <f t="shared" si="3"/>
        <v>1.5050395223353769E-3</v>
      </c>
      <c r="I130" s="9">
        <f t="shared" si="3"/>
        <v>-2.5043231314924691E-4</v>
      </c>
      <c r="J130" s="9" t="str">
        <f t="shared" si="3"/>
        <v/>
      </c>
      <c r="K130" s="9" t="str">
        <f t="shared" si="3"/>
        <v/>
      </c>
      <c r="L130" s="9" t="str">
        <f t="shared" si="3"/>
        <v/>
      </c>
      <c r="M130" s="9" t="str">
        <f t="shared" si="3"/>
        <v/>
      </c>
      <c r="N130" s="9" t="str">
        <f t="shared" si="3"/>
        <v/>
      </c>
      <c r="O130" s="9" t="str">
        <f t="shared" si="3"/>
        <v/>
      </c>
      <c r="P130" s="9">
        <f t="shared" si="5"/>
        <v>3.5181306687295533E-4</v>
      </c>
    </row>
    <row r="131" spans="4:16" x14ac:dyDescent="0.25">
      <c r="D131" s="9">
        <v>0.02</v>
      </c>
      <c r="E131" s="9">
        <f t="shared" si="4"/>
        <v>-1.3761868274721853E-3</v>
      </c>
      <c r="F131" s="9">
        <f t="shared" si="3"/>
        <v>7.5309420011182007E-4</v>
      </c>
      <c r="G131" s="9">
        <f t="shared" si="3"/>
        <v>-2.5586366030748678E-3</v>
      </c>
      <c r="H131" s="9">
        <f t="shared" si="3"/>
        <v>3.0099956555739455E-3</v>
      </c>
      <c r="I131" s="9">
        <f t="shared" si="3"/>
        <v>-5.0070159088747913E-4</v>
      </c>
      <c r="J131" s="9" t="str">
        <f t="shared" si="3"/>
        <v/>
      </c>
      <c r="K131" s="9" t="str">
        <f t="shared" si="3"/>
        <v/>
      </c>
      <c r="L131" s="9" t="str">
        <f t="shared" si="3"/>
        <v/>
      </c>
      <c r="M131" s="9" t="str">
        <f t="shared" si="3"/>
        <v/>
      </c>
      <c r="N131" s="9" t="str">
        <f t="shared" si="3"/>
        <v/>
      </c>
      <c r="O131" s="9" t="str">
        <f t="shared" si="3"/>
        <v/>
      </c>
      <c r="P131" s="9">
        <f t="shared" si="5"/>
        <v>7.0375166172341865E-4</v>
      </c>
    </row>
    <row r="132" spans="4:16" x14ac:dyDescent="0.25">
      <c r="D132" s="9">
        <v>0.05</v>
      </c>
      <c r="E132" s="9">
        <f t="shared" si="4"/>
        <v>-3.4408322349069004E-3</v>
      </c>
      <c r="F132" s="9">
        <f t="shared" si="3"/>
        <v>1.8826343874990864E-3</v>
      </c>
      <c r="G132" s="9">
        <f t="shared" si="3"/>
        <v>-6.3961463051695599E-3</v>
      </c>
      <c r="H132" s="9">
        <f t="shared" si="3"/>
        <v>7.5243637669011963E-3</v>
      </c>
      <c r="I132" s="9">
        <f t="shared" si="3"/>
        <v>-1.2505322726771243E-3</v>
      </c>
      <c r="J132" s="9" t="str">
        <f t="shared" si="3"/>
        <v/>
      </c>
      <c r="K132" s="9" t="str">
        <f t="shared" si="3"/>
        <v/>
      </c>
      <c r="L132" s="9" t="str">
        <f t="shared" si="3"/>
        <v/>
      </c>
      <c r="M132" s="9" t="str">
        <f t="shared" si="3"/>
        <v/>
      </c>
      <c r="N132" s="9" t="str">
        <f t="shared" si="3"/>
        <v/>
      </c>
      <c r="O132" s="9" t="str">
        <f t="shared" si="3"/>
        <v/>
      </c>
      <c r="P132" s="9">
        <f t="shared" si="5"/>
        <v>1.760319576553598E-3</v>
      </c>
    </row>
    <row r="133" spans="4:16" x14ac:dyDescent="0.25">
      <c r="D133" s="9">
        <v>0.1</v>
      </c>
      <c r="E133" s="9">
        <f t="shared" si="4"/>
        <v>-6.8828819202592078E-3</v>
      </c>
      <c r="F133" s="9">
        <f t="shared" si="3"/>
        <v>3.764931764575648E-3</v>
      </c>
      <c r="G133" s="9">
        <f t="shared" si="3"/>
        <v>-1.2790808785562643E-2</v>
      </c>
      <c r="H133" s="9">
        <f t="shared" si="3"/>
        <v>1.5046643268330257E-2</v>
      </c>
      <c r="I133" s="9">
        <f t="shared" si="3"/>
        <v>-2.496999260134782E-3</v>
      </c>
      <c r="J133" s="9" t="str">
        <f t="shared" si="3"/>
        <v/>
      </c>
      <c r="K133" s="9" t="str">
        <f t="shared" si="3"/>
        <v/>
      </c>
      <c r="L133" s="9" t="str">
        <f t="shared" si="3"/>
        <v/>
      </c>
      <c r="M133" s="9" t="str">
        <f t="shared" si="3"/>
        <v/>
      </c>
      <c r="N133" s="9" t="str">
        <f t="shared" si="3"/>
        <v/>
      </c>
      <c r="O133" s="9" t="str">
        <f t="shared" si="3"/>
        <v/>
      </c>
      <c r="P133" s="9">
        <f t="shared" si="5"/>
        <v>3.5237669872084806E-3</v>
      </c>
    </row>
    <row r="134" spans="4:16" x14ac:dyDescent="0.25">
      <c r="D134" s="9">
        <v>0.2</v>
      </c>
      <c r="E134" s="9">
        <f t="shared" si="4"/>
        <v>-1.3770635365508701E-2</v>
      </c>
      <c r="F134" s="9">
        <f t="shared" si="3"/>
        <v>7.5285157287682458E-3</v>
      </c>
      <c r="G134" s="9">
        <f t="shared" si="3"/>
        <v>-2.5575683648863604E-2</v>
      </c>
      <c r="H134" s="9">
        <f t="shared" si="3"/>
        <v>3.0084951784002664E-2</v>
      </c>
      <c r="I134" s="9">
        <f t="shared" si="3"/>
        <v>-4.9777901988606469E-3</v>
      </c>
      <c r="J134" s="9" t="str">
        <f t="shared" si="3"/>
        <v/>
      </c>
      <c r="K134" s="9" t="str">
        <f t="shared" si="3"/>
        <v/>
      </c>
      <c r="L134" s="9" t="str">
        <f t="shared" si="3"/>
        <v/>
      </c>
      <c r="M134" s="9" t="str">
        <f t="shared" si="3"/>
        <v/>
      </c>
      <c r="N134" s="9" t="str">
        <f t="shared" si="3"/>
        <v/>
      </c>
      <c r="O134" s="9" t="str">
        <f t="shared" si="3"/>
        <v/>
      </c>
      <c r="P134" s="9">
        <f t="shared" si="5"/>
        <v>7.0599936650466598E-3</v>
      </c>
    </row>
    <row r="135" spans="4:16" x14ac:dyDescent="0.25">
      <c r="D135" s="9">
        <v>0.5</v>
      </c>
      <c r="E135" s="9">
        <f t="shared" si="4"/>
        <v>-3.4463159342791004E-2</v>
      </c>
      <c r="F135" s="9">
        <f t="shared" si="3"/>
        <v>1.8811185643144226E-2</v>
      </c>
      <c r="G135" s="9">
        <f t="shared" si="3"/>
        <v>-6.3894732227513545E-2</v>
      </c>
      <c r="H135" s="9">
        <f t="shared" si="3"/>
        <v>7.5149914970795595E-2</v>
      </c>
      <c r="I135" s="9">
        <f t="shared" si="3"/>
        <v>-1.2323961777924001E-2</v>
      </c>
      <c r="J135" s="9" t="str">
        <f t="shared" si="3"/>
        <v/>
      </c>
      <c r="K135" s="9" t="str">
        <f t="shared" si="3"/>
        <v/>
      </c>
      <c r="L135" s="9" t="str">
        <f t="shared" si="3"/>
        <v/>
      </c>
      <c r="M135" s="9" t="str">
        <f t="shared" si="3"/>
        <v/>
      </c>
      <c r="N135" s="9" t="str">
        <f t="shared" si="3"/>
        <v/>
      </c>
      <c r="O135" s="9" t="str">
        <f t="shared" si="3"/>
        <v/>
      </c>
      <c r="P135" s="9">
        <f t="shared" si="5"/>
        <v>1.7742406608502275E-2</v>
      </c>
    </row>
    <row r="136" spans="4:16" x14ac:dyDescent="0.25">
      <c r="D136" s="9">
        <v>1</v>
      </c>
      <c r="E136" s="9">
        <f t="shared" si="4"/>
        <v>-6.9048452092741311E-2</v>
      </c>
      <c r="F136" s="9">
        <f t="shared" si="3"/>
        <v>3.7588724491802783E-2</v>
      </c>
      <c r="G136" s="9">
        <f t="shared" si="3"/>
        <v>-0.12764139143020276</v>
      </c>
      <c r="H136" s="9">
        <f t="shared" si="3"/>
        <v>0.15009192229906404</v>
      </c>
      <c r="I136" s="9">
        <f t="shared" si="3"/>
        <v>-2.4253101052154558E-2</v>
      </c>
      <c r="J136" s="9" t="str">
        <f t="shared" si="3"/>
        <v/>
      </c>
      <c r="K136" s="9" t="str">
        <f t="shared" si="3"/>
        <v/>
      </c>
      <c r="L136" s="9" t="str">
        <f t="shared" si="3"/>
        <v/>
      </c>
      <c r="M136" s="9" t="str">
        <f t="shared" si="3"/>
        <v/>
      </c>
      <c r="N136" s="9" t="str">
        <f t="shared" si="3"/>
        <v/>
      </c>
      <c r="O136" s="9" t="str">
        <f t="shared" si="3"/>
        <v/>
      </c>
      <c r="P136" s="9">
        <f t="shared" si="5"/>
        <v>3.578615430850951E-2</v>
      </c>
    </row>
    <row r="137" spans="4:16" x14ac:dyDescent="0.25">
      <c r="D137" s="9">
        <v>2</v>
      </c>
      <c r="E137" s="9">
        <f t="shared" si="4"/>
        <v>-0.13858717065405188</v>
      </c>
      <c r="F137" s="9">
        <f t="shared" si="3"/>
        <v>7.504310242856882E-2</v>
      </c>
      <c r="G137" s="9">
        <f t="shared" si="3"/>
        <v>-0.25469186257485438</v>
      </c>
      <c r="H137" s="9">
        <f t="shared" si="3"/>
        <v>0.29935451320247747</v>
      </c>
      <c r="I137" s="9">
        <f t="shared" si="3"/>
        <v>-4.697710253725669E-2</v>
      </c>
      <c r="J137" s="9" t="str">
        <f t="shared" si="3"/>
        <v/>
      </c>
      <c r="K137" s="9" t="str">
        <f t="shared" si="3"/>
        <v/>
      </c>
      <c r="L137" s="9" t="str">
        <f t="shared" si="3"/>
        <v/>
      </c>
      <c r="M137" s="9" t="str">
        <f t="shared" si="3"/>
        <v/>
      </c>
      <c r="N137" s="9" t="str">
        <f t="shared" si="3"/>
        <v/>
      </c>
      <c r="O137" s="9" t="str">
        <f t="shared" si="3"/>
        <v/>
      </c>
      <c r="P137" s="9">
        <f t="shared" si="5"/>
        <v>7.272865051893522E-2</v>
      </c>
    </row>
    <row r="138" spans="4:16" x14ac:dyDescent="0.25">
      <c r="D138" s="9">
        <v>5</v>
      </c>
      <c r="E138" s="9">
        <f t="shared" si="4"/>
        <v>-0.35017985942180235</v>
      </c>
      <c r="F138" s="9">
        <f t="shared" si="3"/>
        <v>0.18660495003891245</v>
      </c>
      <c r="G138" s="9">
        <f t="shared" si="3"/>
        <v>-0.63232504789064103</v>
      </c>
      <c r="H138" s="9">
        <f t="shared" si="3"/>
        <v>0.74221199569919705</v>
      </c>
      <c r="I138" s="9">
        <f t="shared" si="3"/>
        <v>-0.10690856238408146</v>
      </c>
      <c r="J138" s="9" t="str">
        <f t="shared" si="3"/>
        <v/>
      </c>
      <c r="K138" s="9" t="str">
        <f t="shared" si="3"/>
        <v/>
      </c>
      <c r="L138" s="9" t="str">
        <f t="shared" si="3"/>
        <v/>
      </c>
      <c r="M138" s="9" t="str">
        <f t="shared" si="3"/>
        <v/>
      </c>
      <c r="N138" s="9" t="str">
        <f t="shared" si="3"/>
        <v/>
      </c>
      <c r="O138" s="9" t="str">
        <f t="shared" si="3"/>
        <v/>
      </c>
      <c r="P138" s="9">
        <f t="shared" si="5"/>
        <v>0.18958333546338696</v>
      </c>
    </row>
    <row r="139" spans="4:16" x14ac:dyDescent="0.25">
      <c r="D139" s="9">
        <v>10</v>
      </c>
      <c r="E139" s="9">
        <f t="shared" si="4"/>
        <v>-0.71296947315311587</v>
      </c>
      <c r="F139" s="9">
        <f t="shared" si="3"/>
        <v>0.36989891154411031</v>
      </c>
      <c r="G139" s="9">
        <f t="shared" si="3"/>
        <v>-1.2501481388657285</v>
      </c>
      <c r="H139" s="9">
        <f t="shared" si="3"/>
        <v>1.4641439234746303</v>
      </c>
      <c r="I139" s="9">
        <f t="shared" si="3"/>
        <v>-0.18410551435197131</v>
      </c>
      <c r="J139" s="9" t="str">
        <f t="shared" si="3"/>
        <v/>
      </c>
      <c r="K139" s="9" t="str">
        <f t="shared" si="3"/>
        <v/>
      </c>
      <c r="L139" s="9" t="str">
        <f t="shared" si="3"/>
        <v/>
      </c>
      <c r="M139" s="9" t="str">
        <f t="shared" si="3"/>
        <v/>
      </c>
      <c r="N139" s="9" t="str">
        <f t="shared" si="3"/>
        <v/>
      </c>
      <c r="O139" s="9" t="str">
        <f t="shared" si="3"/>
        <v/>
      </c>
      <c r="P139" s="9">
        <f t="shared" si="5"/>
        <v>0.39978918180104073</v>
      </c>
    </row>
    <row r="140" spans="4:16" x14ac:dyDescent="0.25">
      <c r="D140" s="9">
        <v>20</v>
      </c>
      <c r="E140" s="9">
        <f t="shared" si="4"/>
        <v>-1.4782105912620449</v>
      </c>
      <c r="F140" s="9">
        <f t="shared" si="3"/>
        <v>0.72678781808878912</v>
      </c>
      <c r="G140" s="9">
        <f t="shared" si="3"/>
        <v>-2.4436111934493074</v>
      </c>
      <c r="H140" s="9">
        <f t="shared" si="3"/>
        <v>2.8493689501399011</v>
      </c>
      <c r="I140" s="9">
        <f t="shared" si="3"/>
        <v>-0.28009908001062878</v>
      </c>
      <c r="J140" s="9" t="str">
        <f t="shared" si="3"/>
        <v/>
      </c>
      <c r="K140" s="9" t="str">
        <f t="shared" si="3"/>
        <v/>
      </c>
      <c r="L140" s="9" t="str">
        <f t="shared" si="3"/>
        <v/>
      </c>
      <c r="M140" s="9" t="str">
        <f t="shared" si="3"/>
        <v/>
      </c>
      <c r="N140" s="9" t="str">
        <f t="shared" si="3"/>
        <v/>
      </c>
      <c r="O140" s="9" t="str">
        <f t="shared" si="3"/>
        <v/>
      </c>
      <c r="P140" s="9">
        <f t="shared" si="5"/>
        <v>0.85244649476875389</v>
      </c>
    </row>
    <row r="141" spans="4:16" x14ac:dyDescent="0.25">
      <c r="D141" s="9">
        <v>50</v>
      </c>
      <c r="E141" s="9">
        <f t="shared" si="4"/>
        <v>-4.1273124215261303</v>
      </c>
      <c r="F141" s="9">
        <f t="shared" si="3"/>
        <v>1.7238904543509446</v>
      </c>
      <c r="G141" s="9">
        <f t="shared" si="3"/>
        <v>-5.7090149687551035</v>
      </c>
      <c r="H141" s="9">
        <f t="shared" si="3"/>
        <v>6.572934698511693</v>
      </c>
      <c r="I141" s="9">
        <f t="shared" si="3"/>
        <v>-0.36985493167189765</v>
      </c>
      <c r="J141" s="9" t="str">
        <f t="shared" si="3"/>
        <v/>
      </c>
      <c r="K141" s="9" t="str">
        <f t="shared" si="3"/>
        <v/>
      </c>
      <c r="L141" s="9" t="str">
        <f t="shared" si="3"/>
        <v/>
      </c>
      <c r="M141" s="9" t="str">
        <f t="shared" si="3"/>
        <v/>
      </c>
      <c r="N141" s="9" t="str">
        <f t="shared" si="3"/>
        <v/>
      </c>
      <c r="O141" s="9" t="str">
        <f t="shared" si="3"/>
        <v/>
      </c>
      <c r="P141" s="9">
        <f t="shared" si="5"/>
        <v>2.2179552524356363</v>
      </c>
    </row>
    <row r="142" spans="4:16" x14ac:dyDescent="0.25">
      <c r="D142" s="9">
        <v>100</v>
      </c>
      <c r="E142" s="9">
        <f t="shared" si="4"/>
        <v>-10.006321841364265</v>
      </c>
      <c r="F142" s="9">
        <f t="shared" si="3"/>
        <v>3.1652078930831036</v>
      </c>
      <c r="G142" s="9">
        <f t="shared" si="3"/>
        <v>-10.235891870126316</v>
      </c>
      <c r="H142" s="9">
        <f t="shared" si="3"/>
        <v>11.555375151537152</v>
      </c>
      <c r="I142" s="9">
        <f t="shared" si="3"/>
        <v>-0.38410798955921771</v>
      </c>
      <c r="J142" s="9" t="str">
        <f t="shared" si="3"/>
        <v/>
      </c>
      <c r="K142" s="9" t="str">
        <f t="shared" si="3"/>
        <v/>
      </c>
      <c r="L142" s="9" t="str">
        <f t="shared" si="3"/>
        <v/>
      </c>
      <c r="M142" s="9" t="str">
        <f t="shared" si="3"/>
        <v/>
      </c>
      <c r="N142" s="9" t="str">
        <f t="shared" si="3"/>
        <v/>
      </c>
      <c r="O142" s="9" t="str">
        <f t="shared" si="3"/>
        <v/>
      </c>
      <c r="P142" s="9">
        <f t="shared" si="5"/>
        <v>4.1005831849347212</v>
      </c>
    </row>
    <row r="143" spans="4:16" x14ac:dyDescent="0.25">
      <c r="D143" s="9">
        <v>200</v>
      </c>
      <c r="E143" s="9">
        <f t="shared" si="4"/>
        <v>-30.308755048582629</v>
      </c>
      <c r="F143" s="9">
        <f t="shared" si="4"/>
        <v>5.3778042493669442</v>
      </c>
      <c r="G143" s="9">
        <f t="shared" si="4"/>
        <v>-16.671664551574246</v>
      </c>
      <c r="H143" s="9">
        <f t="shared" si="4"/>
        <v>18.195093363071472</v>
      </c>
      <c r="I143" s="9">
        <f t="shared" si="4"/>
        <v>-0.38467842514525219</v>
      </c>
      <c r="J143" s="9" t="str">
        <f t="shared" si="4"/>
        <v/>
      </c>
      <c r="K143" s="9" t="str">
        <f t="shared" si="4"/>
        <v/>
      </c>
      <c r="L143" s="9" t="str">
        <f t="shared" si="4"/>
        <v/>
      </c>
      <c r="M143" s="9" t="str">
        <f t="shared" si="4"/>
        <v/>
      </c>
      <c r="N143" s="9" t="str">
        <f t="shared" si="4"/>
        <v/>
      </c>
      <c r="O143" s="9" t="str">
        <f t="shared" si="4"/>
        <v/>
      </c>
      <c r="P143" s="9">
        <f t="shared" si="5"/>
        <v>6.5165546357189177</v>
      </c>
    </row>
    <row r="144" spans="4:16" x14ac:dyDescent="0.25">
      <c r="D144" s="9">
        <v>500</v>
      </c>
      <c r="E144" s="9">
        <f t="shared" si="4"/>
        <v>-324.65802551756468</v>
      </c>
      <c r="F144" s="9">
        <f t="shared" si="4"/>
        <v>8.7614719961183667</v>
      </c>
      <c r="G144" s="9">
        <f t="shared" si="4"/>
        <v>-24.861978336371813</v>
      </c>
      <c r="H144" s="9">
        <f t="shared" si="4"/>
        <v>25.462118643996629</v>
      </c>
      <c r="I144" s="9">
        <f t="shared" si="4"/>
        <v>-0.38467927355436721</v>
      </c>
      <c r="J144" s="9" t="str">
        <f t="shared" si="4"/>
        <v/>
      </c>
      <c r="K144" s="9" t="str">
        <f t="shared" si="4"/>
        <v/>
      </c>
      <c r="L144" s="9" t="str">
        <f t="shared" si="4"/>
        <v/>
      </c>
      <c r="M144" s="9" t="str">
        <f t="shared" si="4"/>
        <v/>
      </c>
      <c r="N144" s="9" t="str">
        <f t="shared" si="4"/>
        <v/>
      </c>
      <c r="O144" s="9" t="str">
        <f t="shared" si="4"/>
        <v/>
      </c>
      <c r="P144" s="9">
        <f t="shared" si="5"/>
        <v>8.9769330301888157</v>
      </c>
    </row>
    <row r="145" spans="4:16" x14ac:dyDescent="0.25">
      <c r="D145" s="9">
        <v>1000</v>
      </c>
      <c r="E145" s="9">
        <f t="shared" si="4"/>
        <v>-11488.000753543729</v>
      </c>
      <c r="F145" s="9">
        <f t="shared" si="4"/>
        <v>10.223907901383361</v>
      </c>
      <c r="G145" s="9">
        <f t="shared" si="4"/>
        <v>-27.304906611520607</v>
      </c>
      <c r="H145" s="9">
        <f t="shared" si="4"/>
        <v>27.056978516459537</v>
      </c>
      <c r="I145" s="9">
        <f t="shared" si="4"/>
        <v>-0.38467927355436998</v>
      </c>
      <c r="J145" s="9" t="str">
        <f t="shared" si="4"/>
        <v/>
      </c>
      <c r="K145" s="9" t="str">
        <f t="shared" si="4"/>
        <v/>
      </c>
      <c r="L145" s="9" t="str">
        <f t="shared" si="4"/>
        <v/>
      </c>
      <c r="M145" s="9" t="str">
        <f t="shared" si="4"/>
        <v/>
      </c>
      <c r="N145" s="9" t="str">
        <f t="shared" si="4"/>
        <v/>
      </c>
      <c r="O145" s="9" t="str">
        <f t="shared" si="4"/>
        <v/>
      </c>
      <c r="P145" s="9">
        <f t="shared" si="5"/>
        <v>9.5913005327679226</v>
      </c>
    </row>
    <row r="146" spans="4:16" x14ac:dyDescent="0.25">
      <c r="D146" s="9">
        <v>2000</v>
      </c>
      <c r="E146" s="9">
        <f t="shared" si="4"/>
        <v>-13594018.405284869</v>
      </c>
      <c r="F146" s="9">
        <f t="shared" si="4"/>
        <v>10.508758054102953</v>
      </c>
      <c r="G146" s="9">
        <f t="shared" si="4"/>
        <v>-27.568534141430842</v>
      </c>
      <c r="H146" s="9">
        <f t="shared" si="4"/>
        <v>27.1631322526191</v>
      </c>
      <c r="I146" s="9">
        <f t="shared" si="4"/>
        <v>-0.38467927355436998</v>
      </c>
      <c r="J146" s="9" t="str">
        <f t="shared" si="4"/>
        <v/>
      </c>
      <c r="K146" s="9" t="str">
        <f t="shared" si="4"/>
        <v/>
      </c>
      <c r="L146" s="9" t="str">
        <f t="shared" si="4"/>
        <v/>
      </c>
      <c r="M146" s="9" t="str">
        <f t="shared" si="4"/>
        <v/>
      </c>
      <c r="N146" s="9" t="str">
        <f t="shared" si="4"/>
        <v/>
      </c>
      <c r="O146" s="9" t="str">
        <f t="shared" si="4"/>
        <v/>
      </c>
      <c r="P146" s="9">
        <f t="shared" si="5"/>
        <v>9.7186768917368394</v>
      </c>
    </row>
    <row r="147" spans="4:16" x14ac:dyDescent="0.25">
      <c r="D147" s="9">
        <v>5000</v>
      </c>
      <c r="E147" s="9">
        <f t="shared" si="4"/>
        <v>-2.246760891848002E+16</v>
      </c>
      <c r="F147" s="9">
        <f t="shared" si="4"/>
        <v>10.516921589997455</v>
      </c>
      <c r="G147" s="9">
        <f t="shared" si="4"/>
        <v>-27.571104264381248</v>
      </c>
      <c r="H147" s="9">
        <f t="shared" si="4"/>
        <v>27.163550370250448</v>
      </c>
      <c r="I147" s="9">
        <f t="shared" si="4"/>
        <v>-0.38467927355436998</v>
      </c>
      <c r="J147" s="9" t="str">
        <f t="shared" si="4"/>
        <v/>
      </c>
      <c r="K147" s="9" t="str">
        <f t="shared" si="4"/>
        <v/>
      </c>
      <c r="L147" s="9" t="str">
        <f t="shared" si="4"/>
        <v/>
      </c>
      <c r="M147" s="9" t="str">
        <f t="shared" si="4"/>
        <v/>
      </c>
      <c r="N147" s="9" t="str">
        <f t="shared" si="4"/>
        <v/>
      </c>
      <c r="O147" s="9" t="str">
        <f t="shared" si="4"/>
        <v/>
      </c>
      <c r="P147" s="9">
        <f t="shared" si="5"/>
        <v>9.7246884223122851</v>
      </c>
    </row>
    <row r="148" spans="4:16" x14ac:dyDescent="0.25">
      <c r="D148" s="9">
        <v>10000</v>
      </c>
      <c r="E148" s="9">
        <f t="shared" si="4"/>
        <v>-5.1908443697568757E+31</v>
      </c>
      <c r="F148" s="9">
        <f t="shared" si="4"/>
        <v>10.516921766554997</v>
      </c>
      <c r="G148" s="9">
        <f t="shared" si="4"/>
        <v>-27.571104266694402</v>
      </c>
      <c r="H148" s="9">
        <f t="shared" si="4"/>
        <v>27.163550370275701</v>
      </c>
      <c r="I148" s="9">
        <f t="shared" si="4"/>
        <v>-0.38467927355436998</v>
      </c>
      <c r="J148" s="9" t="str">
        <f t="shared" si="4"/>
        <v/>
      </c>
      <c r="K148" s="9" t="str">
        <f t="shared" si="4"/>
        <v/>
      </c>
      <c r="L148" s="9" t="str">
        <f t="shared" si="4"/>
        <v/>
      </c>
      <c r="M148" s="9" t="str">
        <f t="shared" si="4"/>
        <v/>
      </c>
      <c r="N148" s="9" t="str">
        <f t="shared" si="4"/>
        <v/>
      </c>
      <c r="O148" s="9" t="str">
        <f t="shared" si="4"/>
        <v/>
      </c>
      <c r="P148" s="9">
        <f>SUM(F148:O148)</f>
        <v>9.7246885965819256</v>
      </c>
    </row>
  </sheetData>
  <mergeCells count="3">
    <mergeCell ref="A8:A9"/>
    <mergeCell ref="A10:A11"/>
    <mergeCell ref="A12:A13"/>
  </mergeCells>
  <phoneticPr fontId="2" type="noConversion"/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DA40-7AB2-464B-B9DA-2D254073A2CE}">
  <dimension ref="A1:Y27"/>
  <sheetViews>
    <sheetView tabSelected="1" zoomScale="70" zoomScaleNormal="70" workbookViewId="0">
      <selection activeCell="X27" sqref="X27"/>
    </sheetView>
  </sheetViews>
  <sheetFormatPr baseColWidth="10" defaultRowHeight="15" x14ac:dyDescent="0.25"/>
  <cols>
    <col min="2" max="2" width="11.42578125" customWidth="1"/>
    <col min="14" max="14" width="11.42578125" customWidth="1"/>
  </cols>
  <sheetData>
    <row r="1" spans="1:25" ht="15.75" thickBot="1" x14ac:dyDescent="0.3">
      <c r="A1" s="31" t="s">
        <v>151</v>
      </c>
      <c r="O1" s="31" t="s">
        <v>152</v>
      </c>
    </row>
    <row r="2" spans="1:25" x14ac:dyDescent="0.25">
      <c r="A2" s="31" t="s">
        <v>142</v>
      </c>
      <c r="B2" s="58">
        <v>-134.20596489546799</v>
      </c>
      <c r="C2" s="59">
        <v>262144</v>
      </c>
      <c r="D2" s="59">
        <v>-1.6994775130584799E-9</v>
      </c>
      <c r="E2" s="59">
        <v>-3.51447749131625E-11</v>
      </c>
      <c r="F2" s="59"/>
      <c r="G2" s="59"/>
      <c r="H2" s="59"/>
      <c r="I2" s="60"/>
      <c r="O2" s="31" t="s">
        <v>142</v>
      </c>
      <c r="P2" s="58">
        <v>-134.20587319049901</v>
      </c>
      <c r="Q2" s="59">
        <v>131072</v>
      </c>
      <c r="R2" s="59">
        <v>8.1867847052818405E-11</v>
      </c>
      <c r="S2" s="59">
        <v>1.1300349189998201E-12</v>
      </c>
      <c r="T2" s="59"/>
      <c r="U2" s="59"/>
      <c r="V2" s="59"/>
      <c r="W2" s="60"/>
      <c r="Y2" s="31"/>
    </row>
    <row r="3" spans="1:25" x14ac:dyDescent="0.25">
      <c r="A3" s="31"/>
      <c r="B3" s="61">
        <v>-1.03554867772423E-9</v>
      </c>
      <c r="C3" s="37">
        <v>-12506238.9783489</v>
      </c>
      <c r="D3" s="37">
        <v>536870912</v>
      </c>
      <c r="E3" s="37">
        <v>1.3917901128195699E-8</v>
      </c>
      <c r="F3" s="37"/>
      <c r="G3" s="37"/>
      <c r="H3" s="37"/>
      <c r="I3" s="28"/>
      <c r="O3" s="31"/>
      <c r="P3" s="61">
        <v>-1.17137784245471E-9</v>
      </c>
      <c r="Q3" s="37">
        <v>-14706021.784407601</v>
      </c>
      <c r="R3" s="37">
        <v>1073741824</v>
      </c>
      <c r="S3" s="37">
        <v>-7.7732929200416005E-9</v>
      </c>
      <c r="T3" s="37"/>
      <c r="U3" s="37"/>
      <c r="V3" s="37"/>
      <c r="W3" s="28"/>
      <c r="Y3" s="31"/>
    </row>
    <row r="4" spans="1:25" x14ac:dyDescent="0.25">
      <c r="A4" s="31"/>
      <c r="B4" s="61">
        <v>-4.2774104809861101E-8</v>
      </c>
      <c r="C4" s="37">
        <v>-569586478.37414598</v>
      </c>
      <c r="D4" s="37">
        <v>-12506238.978349</v>
      </c>
      <c r="E4" s="37">
        <v>2147483648</v>
      </c>
      <c r="F4" s="37"/>
      <c r="G4" s="37"/>
      <c r="H4" s="37"/>
      <c r="I4" s="28"/>
      <c r="O4" s="31"/>
      <c r="P4" s="61">
        <v>-4.3745387912978801E-9</v>
      </c>
      <c r="Q4" s="37">
        <v>-258182900.124962</v>
      </c>
      <c r="R4" s="37">
        <v>-14706021.7844085</v>
      </c>
      <c r="S4" s="37">
        <v>34359738368</v>
      </c>
      <c r="T4" s="37"/>
      <c r="U4" s="37"/>
      <c r="V4" s="37"/>
      <c r="W4" s="28"/>
      <c r="Y4" s="31"/>
    </row>
    <row r="5" spans="1:25" x14ac:dyDescent="0.25">
      <c r="A5" s="31"/>
      <c r="B5" s="61">
        <v>-2.0221525070785398E-9</v>
      </c>
      <c r="C5" s="37">
        <v>-4.2542621898649799E-9</v>
      </c>
      <c r="D5" s="37">
        <v>7.3315920760988899E-8</v>
      </c>
      <c r="E5" s="37">
        <v>-45428573590.226799</v>
      </c>
      <c r="F5" s="37"/>
      <c r="G5" s="37"/>
      <c r="H5" s="37"/>
      <c r="I5" s="28"/>
      <c r="O5" s="31"/>
      <c r="P5" s="61">
        <v>-1.4813146522054599E-11</v>
      </c>
      <c r="Q5" s="37">
        <v>-5.2690538005750904E-9</v>
      </c>
      <c r="R5" s="37">
        <v>3.3500431558288697E-8</v>
      </c>
      <c r="S5" s="37">
        <v>-10166406303748.9</v>
      </c>
      <c r="T5" s="37"/>
      <c r="U5" s="37"/>
      <c r="V5" s="37"/>
      <c r="W5" s="28"/>
      <c r="Y5" s="31"/>
    </row>
    <row r="6" spans="1:25" x14ac:dyDescent="0.25">
      <c r="A6" s="31"/>
      <c r="B6" s="61"/>
      <c r="C6" s="37"/>
      <c r="D6" s="37"/>
      <c r="E6" s="37"/>
      <c r="F6" s="37"/>
      <c r="G6" s="37"/>
      <c r="H6" s="37"/>
      <c r="I6" s="28"/>
      <c r="O6" s="31"/>
      <c r="P6" s="61"/>
      <c r="Q6" s="37"/>
      <c r="R6" s="37"/>
      <c r="S6" s="37"/>
      <c r="T6" s="37"/>
      <c r="U6" s="37"/>
      <c r="V6" s="37"/>
      <c r="W6" s="28"/>
    </row>
    <row r="7" spans="1:25" x14ac:dyDescent="0.25">
      <c r="A7" s="31"/>
      <c r="B7" s="61"/>
      <c r="C7" s="37"/>
      <c r="D7" s="37"/>
      <c r="E7" s="37"/>
      <c r="F7" s="37"/>
      <c r="G7" s="37"/>
      <c r="H7" s="37"/>
      <c r="I7" s="28"/>
      <c r="O7" s="31"/>
      <c r="P7" s="61"/>
      <c r="Q7" s="37"/>
      <c r="R7" s="37"/>
      <c r="S7" s="37"/>
      <c r="T7" s="37"/>
      <c r="U7" s="37"/>
      <c r="V7" s="37"/>
      <c r="W7" s="28"/>
    </row>
    <row r="8" spans="1:25" x14ac:dyDescent="0.25">
      <c r="A8" s="31"/>
      <c r="B8" s="61"/>
      <c r="C8" s="37"/>
      <c r="D8" s="37"/>
      <c r="E8" s="37"/>
      <c r="F8" s="37"/>
      <c r="G8" s="37"/>
      <c r="H8" s="37"/>
      <c r="I8" s="28"/>
      <c r="O8" s="31"/>
      <c r="P8" s="61"/>
      <c r="Q8" s="37"/>
      <c r="R8" s="37"/>
      <c r="S8" s="37"/>
      <c r="T8" s="37"/>
      <c r="U8" s="37"/>
      <c r="V8" s="37"/>
      <c r="W8" s="28"/>
    </row>
    <row r="9" spans="1:25" ht="15.75" thickBot="1" x14ac:dyDescent="0.3">
      <c r="A9" s="31"/>
      <c r="B9" s="62"/>
      <c r="C9" s="20"/>
      <c r="D9" s="20"/>
      <c r="E9" s="20"/>
      <c r="F9" s="20"/>
      <c r="G9" s="20"/>
      <c r="H9" s="20"/>
      <c r="I9" s="30"/>
      <c r="O9" s="31"/>
      <c r="P9" s="62"/>
      <c r="Q9" s="20"/>
      <c r="R9" s="20"/>
      <c r="S9" s="20"/>
      <c r="T9" s="20"/>
      <c r="U9" s="20"/>
      <c r="V9" s="20"/>
      <c r="W9" s="30"/>
    </row>
    <row r="10" spans="1:25" ht="15.75" thickBot="1" x14ac:dyDescent="0.3">
      <c r="A10" s="31"/>
      <c r="B10" s="36"/>
      <c r="C10" s="36"/>
      <c r="D10" s="36"/>
      <c r="E10" s="36"/>
      <c r="F10" s="36"/>
      <c r="G10" s="36"/>
      <c r="H10" s="36"/>
      <c r="I10" s="36"/>
      <c r="O10" s="31"/>
      <c r="P10" s="36"/>
      <c r="Q10" s="36"/>
      <c r="R10" s="36"/>
      <c r="S10" s="36"/>
      <c r="T10" s="36"/>
      <c r="U10" s="36"/>
      <c r="V10" s="36"/>
      <c r="W10" s="36"/>
    </row>
    <row r="11" spans="1:25" x14ac:dyDescent="0.25">
      <c r="A11" s="31" t="s">
        <v>146</v>
      </c>
      <c r="B11" s="70">
        <v>3.2573091397647898E-6</v>
      </c>
      <c r="E11" s="68" t="s">
        <v>144</v>
      </c>
      <c r="F11" s="69" t="s">
        <v>145</v>
      </c>
      <c r="O11" s="31" t="s">
        <v>146</v>
      </c>
      <c r="P11" s="70">
        <v>2.0731868874614101E-7</v>
      </c>
      <c r="S11" s="68" t="s">
        <v>144</v>
      </c>
      <c r="T11" s="69" t="s">
        <v>145</v>
      </c>
    </row>
    <row r="12" spans="1:25" x14ac:dyDescent="0.25">
      <c r="A12" s="31"/>
      <c r="B12" s="71">
        <v>2.3951437952400801E-3</v>
      </c>
      <c r="E12" s="68"/>
      <c r="F12" s="69"/>
      <c r="O12" s="31"/>
      <c r="P12" s="71">
        <v>-9.42069277651718E-3</v>
      </c>
      <c r="S12" s="68"/>
      <c r="T12" s="69"/>
    </row>
    <row r="13" spans="1:25" x14ac:dyDescent="0.25">
      <c r="A13" s="31"/>
      <c r="B13" s="71">
        <v>6.00335199047577E-5</v>
      </c>
      <c r="E13" s="68" t="s">
        <v>138</v>
      </c>
      <c r="F13" s="69" t="s">
        <v>139</v>
      </c>
      <c r="O13" s="31"/>
      <c r="P13" s="71">
        <v>-3.5175657090434599E-4</v>
      </c>
      <c r="S13" s="68" t="s">
        <v>138</v>
      </c>
      <c r="T13" s="69" t="s">
        <v>150</v>
      </c>
      <c r="U13" t="s">
        <v>153</v>
      </c>
    </row>
    <row r="14" spans="1:25" x14ac:dyDescent="0.25">
      <c r="A14" s="31"/>
      <c r="B14" s="71">
        <v>262143.99999889499</v>
      </c>
      <c r="E14" s="68"/>
      <c r="F14" s="69" t="s">
        <v>148</v>
      </c>
      <c r="O14" s="31"/>
      <c r="P14" s="71">
        <v>8388607.9999820199</v>
      </c>
      <c r="S14" s="68"/>
      <c r="T14" s="69" t="s">
        <v>140</v>
      </c>
      <c r="U14" t="s">
        <v>154</v>
      </c>
    </row>
    <row r="15" spans="1:25" x14ac:dyDescent="0.25">
      <c r="A15" s="31"/>
      <c r="B15" s="71"/>
      <c r="E15" s="69"/>
      <c r="F15" s="69" t="s">
        <v>149</v>
      </c>
      <c r="O15" s="31"/>
      <c r="P15" s="71"/>
      <c r="S15" s="69"/>
      <c r="T15" s="69" t="s">
        <v>141</v>
      </c>
      <c r="U15" t="s">
        <v>155</v>
      </c>
    </row>
    <row r="16" spans="1:25" x14ac:dyDescent="0.25">
      <c r="A16" s="31"/>
      <c r="B16" s="71"/>
      <c r="O16" s="31"/>
      <c r="P16" s="71"/>
    </row>
    <row r="17" spans="1:23" x14ac:dyDescent="0.25">
      <c r="A17" s="31"/>
      <c r="B17" s="64"/>
      <c r="O17" s="31"/>
      <c r="P17" s="64"/>
    </row>
    <row r="18" spans="1:23" ht="15.75" thickBot="1" x14ac:dyDescent="0.3">
      <c r="A18" s="31"/>
      <c r="B18" s="65"/>
      <c r="O18" s="31"/>
      <c r="P18" s="65"/>
    </row>
    <row r="19" spans="1:23" ht="15.75" thickBot="1" x14ac:dyDescent="0.3">
      <c r="A19" s="31"/>
      <c r="B19" s="36"/>
      <c r="O19" s="31"/>
      <c r="P19" s="36"/>
    </row>
    <row r="20" spans="1:23" x14ac:dyDescent="0.25">
      <c r="A20" s="31" t="s">
        <v>143</v>
      </c>
      <c r="B20" s="58">
        <v>-2.3529618852361698</v>
      </c>
      <c r="C20" s="59">
        <v>-45555.5737565042</v>
      </c>
      <c r="D20" s="59">
        <v>-2077.38081559595</v>
      </c>
      <c r="E20" s="59">
        <v>189169.815915135</v>
      </c>
      <c r="F20" s="59"/>
      <c r="G20" s="59"/>
      <c r="H20" s="66"/>
      <c r="I20" s="67"/>
      <c r="O20" s="31" t="s">
        <v>143</v>
      </c>
      <c r="P20" s="58">
        <v>-9.3260376502970406</v>
      </c>
      <c r="Q20" s="59">
        <v>-81722.898971439296</v>
      </c>
      <c r="R20" s="59">
        <v>-10229.413220099899</v>
      </c>
      <c r="S20" s="59">
        <v>12097285.541207399</v>
      </c>
      <c r="T20" s="59"/>
      <c r="U20" s="59"/>
      <c r="V20" s="66"/>
      <c r="W20" s="67"/>
    </row>
    <row r="21" spans="1:23" x14ac:dyDescent="0.25">
      <c r="A21" s="31"/>
      <c r="B21" s="61">
        <v>250.45782874515101</v>
      </c>
      <c r="C21" s="37">
        <v>-461.25675203808999</v>
      </c>
      <c r="D21" s="37">
        <v>20293.734493565898</v>
      </c>
      <c r="E21" s="37">
        <v>9.7843780225502601E-3</v>
      </c>
      <c r="F21" s="37"/>
      <c r="G21" s="37"/>
      <c r="H21" s="36"/>
      <c r="I21" s="12"/>
      <c r="O21" s="31"/>
      <c r="P21" s="61">
        <v>99.269858402927994</v>
      </c>
      <c r="Q21" s="37">
        <v>13.1255153572463</v>
      </c>
      <c r="R21" s="37">
        <v>-792.015960630427</v>
      </c>
      <c r="S21" s="37">
        <v>-9.8160899777856594E-2</v>
      </c>
      <c r="T21" s="37"/>
      <c r="U21" s="37"/>
      <c r="V21" s="36"/>
      <c r="W21" s="12"/>
    </row>
    <row r="22" spans="1:23" ht="15.75" thickBot="1" x14ac:dyDescent="0.3">
      <c r="A22" s="31"/>
      <c r="B22" s="62">
        <v>2.3529618852351299E-9</v>
      </c>
      <c r="C22" s="20">
        <v>4.5555573765656297E-5</v>
      </c>
      <c r="D22" s="20">
        <v>2.0773808400187302E-6</v>
      </c>
      <c r="E22" s="20">
        <v>-1.8916981595176201E-4</v>
      </c>
      <c r="F22" s="20"/>
      <c r="G22" s="20"/>
      <c r="H22" s="17"/>
      <c r="I22" s="22"/>
      <c r="O22" s="31"/>
      <c r="P22" s="62">
        <v>1.28524973707331E-4</v>
      </c>
      <c r="Q22" s="20">
        <v>-108.67423839935999</v>
      </c>
      <c r="R22" s="20">
        <v>7925.5031527994597</v>
      </c>
      <c r="S22" s="20">
        <v>-9.4867564611804205E-4</v>
      </c>
      <c r="T22" s="20"/>
      <c r="U22" s="20"/>
      <c r="V22" s="17"/>
      <c r="W22" s="22"/>
    </row>
    <row r="23" spans="1:23" ht="15.75" thickBot="1" x14ac:dyDescent="0.3">
      <c r="A23" s="31"/>
      <c r="O23" s="31"/>
    </row>
    <row r="24" spans="1:23" x14ac:dyDescent="0.25">
      <c r="A24" s="31" t="s">
        <v>147</v>
      </c>
      <c r="B24" s="63">
        <v>0</v>
      </c>
      <c r="O24" s="31" t="s">
        <v>147</v>
      </c>
      <c r="P24" s="63">
        <v>0</v>
      </c>
    </row>
    <row r="25" spans="1:23" x14ac:dyDescent="0.25">
      <c r="B25" s="64">
        <v>0</v>
      </c>
      <c r="P25" s="64">
        <v>0</v>
      </c>
    </row>
    <row r="26" spans="1:23" ht="15.75" thickBot="1" x14ac:dyDescent="0.3">
      <c r="B26" s="65">
        <v>0</v>
      </c>
      <c r="P26" s="65">
        <v>0</v>
      </c>
    </row>
    <row r="27" spans="1:23" x14ac:dyDescent="0.25">
      <c r="A27" s="3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readme</vt:lpstr>
      <vt:lpstr>electrical</vt:lpstr>
      <vt:lpstr>thermal</vt:lpstr>
      <vt:lpstr>statespace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Mueller Max Valentin, PE-33F</cp:lastModifiedBy>
  <dcterms:created xsi:type="dcterms:W3CDTF">2015-06-05T18:19:34Z</dcterms:created>
  <dcterms:modified xsi:type="dcterms:W3CDTF">2025-06-16T14:37:13Z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2025-05-08T11:30:32Z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385ce2d0-0276-402e-b4cf-c31174a08e95</vt:lpwstr>
  </property>
  <property fmtid="{D5CDD505-2E9C-101B-9397-08002B2CF9AE}" pid="8" name="MSIP_Label_e6935750-240b-48e4-a615-66942a738439_ContentBits">
    <vt:lpwstr>2</vt:lpwstr>
  </property>
</Properties>
</file>