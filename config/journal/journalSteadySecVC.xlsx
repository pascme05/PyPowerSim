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5465b21b5e6e2/Studium/34_Github/PyPowerSim/config/journal/"/>
    </mc:Choice>
  </mc:AlternateContent>
  <xr:revisionPtr revIDLastSave="17" documentId="13_ncr:1_{D0567261-BC65-4AF6-8E07-2DF890D750FF}" xr6:coauthVersionLast="47" xr6:coauthVersionMax="47" xr10:uidLastSave="{DA564F69-D4F5-466D-818C-6FE194D2E5F6}"/>
  <bookViews>
    <workbookView xWindow="-108" yWindow="-108" windowWidth="30936" windowHeight="16776" activeTab="2" xr2:uid="{DB7D2548-4471-4992-93B1-3EC0BA66F7EA}"/>
  </bookViews>
  <sheets>
    <sheet name="readme" sheetId="2" r:id="rId1"/>
    <sheet name="Exp" sheetId="4" r:id="rId2"/>
    <sheet name="Dat" sheetId="9" r:id="rId3"/>
    <sheet name="Top" sheetId="10" r:id="rId4"/>
    <sheet name="Par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<sst xmlns="http://schemas.openxmlformats.org/spreadsheetml/2006/main" count="395" uniqueCount="254">
  <si>
    <t>#</t>
  </si>
  <si>
    <t>Name</t>
  </si>
  <si>
    <t>Unit</t>
  </si>
  <si>
    <t>Variable</t>
  </si>
  <si>
    <t>V</t>
  </si>
  <si>
    <t>A</t>
  </si>
  <si>
    <t>Date</t>
  </si>
  <si>
    <t>Author</t>
  </si>
  <si>
    <t>Version</t>
  </si>
  <si>
    <t>File</t>
  </si>
  <si>
    <t>17.08.2023</t>
  </si>
  <si>
    <t>Dr. Pascal A. Schirmer</t>
  </si>
  <si>
    <t>v.0.0</t>
  </si>
  <si>
    <t>Changes</t>
  </si>
  <si>
    <t>Editor</t>
  </si>
  <si>
    <t>Lead</t>
  </si>
  <si>
    <t>Pascal Schirmer</t>
  </si>
  <si>
    <t>v.0.1</t>
  </si>
  <si>
    <t>17.02.2024</t>
  </si>
  <si>
    <t>Review for python implementation</t>
  </si>
  <si>
    <t>Description</t>
  </si>
  <si>
    <t>Value</t>
  </si>
  <si>
    <t>-</t>
  </si>
  <si>
    <t>Ohm</t>
  </si>
  <si>
    <t>Category</t>
  </si>
  <si>
    <t>Losses</t>
  </si>
  <si>
    <t>W</t>
  </si>
  <si>
    <t>fs</t>
  </si>
  <si>
    <t>Hz</t>
  </si>
  <si>
    <t>degC</t>
  </si>
  <si>
    <t>%</t>
  </si>
  <si>
    <t>p.u.</t>
  </si>
  <si>
    <t>Initial implementation of the config template</t>
  </si>
  <si>
    <t>Mi</t>
  </si>
  <si>
    <t>type</t>
  </si>
  <si>
    <t>therFeed</t>
  </si>
  <si>
    <t>freqPar</t>
  </si>
  <si>
    <t>freqAvg</t>
  </si>
  <si>
    <t>fsim</t>
  </si>
  <si>
    <t>tol</t>
  </si>
  <si>
    <t>eps</t>
  </si>
  <si>
    <t>int</t>
  </si>
  <si>
    <t>(0): no thermal coupling with electric losses, 
(1): thermal-electric coupling</t>
  </si>
  <si>
    <t>(fs): values are updated earliest after switching cycle, 
(fel): values are updated earliest after fundamental cycle</t>
  </si>
  <si>
    <t>(none): no averaging is used, 
(fs): values are averaged over switching cycle, 
(fel): values are averaged over fundamental cycle</t>
  </si>
  <si>
    <t>tolerance in percent with respect to the previous converged result</t>
  </si>
  <si>
    <t>small numerical tolerance</t>
  </si>
  <si>
    <t>number of steps for integration</t>
  </si>
  <si>
    <t>Thermal Coupling</t>
  </si>
  <si>
    <t>Update Frequency</t>
  </si>
  <si>
    <t>Waveform Smoothing</t>
  </si>
  <si>
    <t>Simulation Frequency</t>
  </si>
  <si>
    <t>Simulation Tolerance</t>
  </si>
  <si>
    <t>Numerical Zero</t>
  </si>
  <si>
    <t>Integration Steps</t>
  </si>
  <si>
    <t>simulation frequency</t>
  </si>
  <si>
    <t>stat</t>
  </si>
  <si>
    <t>number of fundamental cycles used for stationary analysis (at least 4)</t>
  </si>
  <si>
    <t>cyc</t>
  </si>
  <si>
    <t>Tj</t>
  </si>
  <si>
    <t>Tc</t>
  </si>
  <si>
    <t>Po</t>
  </si>
  <si>
    <t>Qo</t>
  </si>
  <si>
    <t>Vo</t>
  </si>
  <si>
    <t>Io</t>
  </si>
  <si>
    <t>Vdc</t>
  </si>
  <si>
    <t>phi</t>
  </si>
  <si>
    <t>tmax</t>
  </si>
  <si>
    <t>trans</t>
  </si>
  <si>
    <t>number of datapoints for sweep analysis</t>
  </si>
  <si>
    <t>core temperature of all components</t>
  </si>
  <si>
    <t>reference temperature of all components</t>
  </si>
  <si>
    <t>output active power (Po) for power control</t>
  </si>
  <si>
    <t>output reactive power (Qo) for power control</t>
  </si>
  <si>
    <t>output RMS phase voltage (V0) for voltage control</t>
  </si>
  <si>
    <t>output RMS phase current (Io) for current control</t>
  </si>
  <si>
    <t>VAr</t>
  </si>
  <si>
    <t xml:space="preserve">modulation index (Mi) for distortion analysis  </t>
  </si>
  <si>
    <t xml:space="preserve">DC-Link voltage </t>
  </si>
  <si>
    <t>load angle output voltage</t>
  </si>
  <si>
    <t>deg</t>
  </si>
  <si>
    <t>sec</t>
  </si>
  <si>
    <t>maximum time for transient analysis</t>
  </si>
  <si>
    <t>core temperature at t=0 of all components</t>
  </si>
  <si>
    <t>Active Power</t>
  </si>
  <si>
    <t>Reactive Power</t>
  </si>
  <si>
    <t>RMS Voltage</t>
  </si>
  <si>
    <t>RMS Current</t>
  </si>
  <si>
    <t>Modulation Index</t>
  </si>
  <si>
    <t>Load Angle</t>
  </si>
  <si>
    <t>End Time</t>
  </si>
  <si>
    <t>DC Voltage</t>
  </si>
  <si>
    <t>Sweep Points</t>
  </si>
  <si>
    <t>Core Temp</t>
  </si>
  <si>
    <t>Ref Temp</t>
  </si>
  <si>
    <t>Fundamental Cycles</t>
  </si>
  <si>
    <t>sourceType</t>
  </si>
  <si>
    <t>Elco</t>
  </si>
  <si>
    <t>B6</t>
  </si>
  <si>
    <t>inpFilter</t>
  </si>
  <si>
    <t>Rinp</t>
  </si>
  <si>
    <t>Linp</t>
  </si>
  <si>
    <t>Cinp</t>
  </si>
  <si>
    <t>outFilter</t>
  </si>
  <si>
    <t>Rout</t>
  </si>
  <si>
    <t>Lout</t>
  </si>
  <si>
    <t>Cout</t>
  </si>
  <si>
    <t>R</t>
  </si>
  <si>
    <t>L</t>
  </si>
  <si>
    <t>E</t>
  </si>
  <si>
    <t>phiE</t>
  </si>
  <si>
    <t>wave</t>
  </si>
  <si>
    <t>fel</t>
  </si>
  <si>
    <t>sin</t>
  </si>
  <si>
    <t>(B2): half bridge, 
(B4): full bridge, 
(B6): two-level three phase converter</t>
  </si>
  <si>
    <t>0) input filter is deactivated, 
1) input filter is activated</t>
  </si>
  <si>
    <t>input filter resistance</t>
  </si>
  <si>
    <t>input filter inductance</t>
  </si>
  <si>
    <t>input filter capacitance</t>
  </si>
  <si>
    <t>H</t>
  </si>
  <si>
    <t>F</t>
  </si>
  <si>
    <t>0) output filter is deactivated, 
1) output filter is activated</t>
  </si>
  <si>
    <t>output filter resistance</t>
  </si>
  <si>
    <t>output filter inductance</t>
  </si>
  <si>
    <t>output filter capacitance</t>
  </si>
  <si>
    <t>load resistance</t>
  </si>
  <si>
    <t>load inductance</t>
  </si>
  <si>
    <t>induced voltage</t>
  </si>
  <si>
    <t>load angle induced voltage</t>
  </si>
  <si>
    <t>electrical frequency</t>
  </si>
  <si>
    <t>Topology</t>
  </si>
  <si>
    <t>upd</t>
  </si>
  <si>
    <t>samp</t>
  </si>
  <si>
    <t>tri</t>
  </si>
  <si>
    <t>td</t>
  </si>
  <si>
    <t>tmin</t>
  </si>
  <si>
    <t>loss</t>
  </si>
  <si>
    <t>swloss</t>
  </si>
  <si>
    <t>sw</t>
  </si>
  <si>
    <t>seq</t>
  </si>
  <si>
    <t>zero</t>
  </si>
  <si>
    <t>PWM</t>
  </si>
  <si>
    <t>SV</t>
  </si>
  <si>
    <t>DE</t>
  </si>
  <si>
    <t>RS</t>
  </si>
  <si>
    <t>SM</t>
  </si>
  <si>
    <t>SVPWM</t>
  </si>
  <si>
    <t>SwiMdl</t>
  </si>
  <si>
    <t>SwiType</t>
  </si>
  <si>
    <t>SwiRecCon</t>
  </si>
  <si>
    <t>SwiRecMdl</t>
  </si>
  <si>
    <t>SwiPara</t>
  </si>
  <si>
    <t>SwiSeries</t>
  </si>
  <si>
    <t>CapMdl</t>
  </si>
  <si>
    <t>CapType</t>
  </si>
  <si>
    <t>CapPara</t>
  </si>
  <si>
    <t>CapSeries</t>
  </si>
  <si>
    <t>Heatsink</t>
  </si>
  <si>
    <t>Coupling</t>
  </si>
  <si>
    <t>fc</t>
  </si>
  <si>
    <t>satMin</t>
  </si>
  <si>
    <t>satMax</t>
  </si>
  <si>
    <t>Kp</t>
  </si>
  <si>
    <t>Ki</t>
  </si>
  <si>
    <t>hys</t>
  </si>
  <si>
    <t>Cont</t>
  </si>
  <si>
    <t>Elec</t>
  </si>
  <si>
    <t>Ther</t>
  </si>
  <si>
    <t>tab</t>
  </si>
  <si>
    <t>IGBT</t>
  </si>
  <si>
    <t>D</t>
  </si>
  <si>
    <t>con</t>
  </si>
  <si>
    <t>(SE): single edge, 
(DE): double edge</t>
  </si>
  <si>
    <t>(NS): natural sampling, 
(RS): regular sampling</t>
  </si>
  <si>
    <t>(RE): rising edge, 
(FE): falling edge, 
(SM): symmetrical modulation, 
(AM): asymmetrical modualtion</t>
  </si>
  <si>
    <t>(0): non-interleaved, 
(1): interleaving (when multiple carriers are used)</t>
  </si>
  <si>
    <t>minimum on/off period of a pulse</t>
  </si>
  <si>
    <t>dead time between lower/upper state of a halfbridge</t>
  </si>
  <si>
    <t>(0): ideal and lossles, 
(1): linear modelling</t>
  </si>
  <si>
    <t>(0): switching losses based on energies (Eon, Eoff, Erec), 
(1): switching losses based on integration of capacitance's (Ciss, Coss, Crec)</t>
  </si>
  <si>
    <t>(0): hard switching, 
(1): soft switching (tbi)</t>
  </si>
  <si>
    <t>PWM switching frequency</t>
  </si>
  <si>
    <t>PWM switching sequence B6 bridge</t>
  </si>
  <si>
    <t>PWM method B6 bridge</t>
  </si>
  <si>
    <t>(PI): PI controller
(HY): Hysteresis controller</t>
  </si>
  <si>
    <t>controller frequency</t>
  </si>
  <si>
    <t>minimum saturation value of the controller</t>
  </si>
  <si>
    <t>maximum saturation value of the controller</t>
  </si>
  <si>
    <t>proportional gain PI controller</t>
  </si>
  <si>
    <t>integral gain PI controller</t>
  </si>
  <si>
    <t>Hysteresis band for hysteresis controller</t>
  </si>
  <si>
    <t>(con): constant parameters, 
(pwl): piecewise linear, 
(tab): tabulated parameters</t>
  </si>
  <si>
    <t xml:space="preserve">type of the switch (IGBT, MOSFET) </t>
  </si>
  <si>
    <t>reverse conduction using 
(D): diode channel, 
(DT): diode and transistor share current (tbi)</t>
  </si>
  <si>
    <t>reverse conduction model 
(0): Ideal, 
(1): including blanking time</t>
  </si>
  <si>
    <t>number of switches in parallel</t>
  </si>
  <si>
    <t xml:space="preserve">number of switches in series </t>
  </si>
  <si>
    <t xml:space="preserve">type of the capacitor (Elco, MLCC-&gt;tbi, Film-&gt;tbi) </t>
  </si>
  <si>
    <t xml:space="preserve">number of capacitors in parallel </t>
  </si>
  <si>
    <t xml:space="preserve">number of capacitors in series  </t>
  </si>
  <si>
    <t>0) neglecting heatsink
1) using thermal capacities and resistances of heatsink RC model</t>
  </si>
  <si>
    <t>0) no thermal coupling between diode and transistor, 
1) thermal coupling between diode and transistor, 
2) thermal coupling via whole converter</t>
  </si>
  <si>
    <t>PWM Method</t>
  </si>
  <si>
    <t>PWM Update</t>
  </si>
  <si>
    <t>PWM Sampling</t>
  </si>
  <si>
    <t>PWM Trigger</t>
  </si>
  <si>
    <t>Interleaving</t>
  </si>
  <si>
    <t>Dead Time</t>
  </si>
  <si>
    <t>Pulse Length</t>
  </si>
  <si>
    <t>Switching Losses</t>
  </si>
  <si>
    <t>Switching Freq.</t>
  </si>
  <si>
    <t>Switching Sequence</t>
  </si>
  <si>
    <t>Switching Method</t>
  </si>
  <si>
    <t>Controller</t>
  </si>
  <si>
    <t>Control Freq.</t>
  </si>
  <si>
    <t>Min Saturation</t>
  </si>
  <si>
    <t>Max Saturation</t>
  </si>
  <si>
    <t>P Gain</t>
  </si>
  <si>
    <t>I Gain</t>
  </si>
  <si>
    <t>Hysteresis Band</t>
  </si>
  <si>
    <t>Swi Modeling</t>
  </si>
  <si>
    <t>Swi Type</t>
  </si>
  <si>
    <t>Reverse Conduction</t>
  </si>
  <si>
    <t>Cap Type</t>
  </si>
  <si>
    <t>Reverse Model</t>
  </si>
  <si>
    <t>Parallel Swi</t>
  </si>
  <si>
    <t>Serial Swi</t>
  </si>
  <si>
    <t>Cap Model</t>
  </si>
  <si>
    <t>Parallel Cap</t>
  </si>
  <si>
    <t>Serial Cap</t>
  </si>
  <si>
    <t>0127</t>
  </si>
  <si>
    <t>none</t>
  </si>
  <si>
    <t>23.06.2024</t>
  </si>
  <si>
    <t>v.1.0</t>
  </si>
  <si>
    <t>Legend</t>
  </si>
  <si>
    <t>Color-Code</t>
  </si>
  <si>
    <t>Meaning</t>
  </si>
  <si>
    <t>Change</t>
  </si>
  <si>
    <t>Headings</t>
  </si>
  <si>
    <t>No</t>
  </si>
  <si>
    <t>First complete template</t>
  </si>
  <si>
    <t>Information (can be changed for personal notes and markup)</t>
  </si>
  <si>
    <t>Yes</t>
  </si>
  <si>
    <t>Input values</t>
  </si>
  <si>
    <t>Variable names read by toolkit</t>
  </si>
  <si>
    <t>journal</t>
  </si>
  <si>
    <t>(FF): fundamental frequency, 
(CB): carrier based, 
(SV): space vector based, 
(OPP): optimal pulse pattern,
(OSM): optimal subcycle modulation</t>
  </si>
  <si>
    <t>HY</t>
  </si>
  <si>
    <t>(con): constant, 
(sin): sinusoidal, 
(tri): triangular,
(tar): trapezoidal</t>
  </si>
  <si>
    <t>Trafo Model</t>
  </si>
  <si>
    <t>TraMdl</t>
  </si>
  <si>
    <t>Phi DAB</t>
  </si>
  <si>
    <t>phase-shift between primary and secondary votlage DAB converter</t>
  </si>
  <si>
    <t>PhiDAB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</si>
</sst>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E+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0" fillId="0" borderId="2" xfId="0" applyBorder="1"/>
    <xf numFmtId="0" fontId="1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3" borderId="8" xfId="0" applyFill="1" applyBorder="1"/>
    <xf numFmtId="0" fontId="0" fillId="3" borderId="8" xfId="0" applyFill="1" applyBorder="1" applyAlignment="1">
      <alignment wrapText="1"/>
    </xf>
    <xf numFmtId="0" fontId="0" fillId="4" borderId="8" xfId="0" applyFill="1" applyBorder="1" applyAlignment="1">
      <alignment horizontal="center" vertical="center"/>
    </xf>
    <xf numFmtId="11" fontId="0" fillId="4" borderId="8" xfId="0" applyNumberFormat="1" applyFill="1" applyBorder="1" applyAlignment="1">
      <alignment horizontal="center" vertical="center"/>
    </xf>
    <xf numFmtId="0" fontId="0" fillId="3" borderId="12" xfId="0" applyFill="1" applyBorder="1"/>
    <xf numFmtId="0" fontId="0" fillId="3" borderId="12" xfId="0" applyFill="1" applyBorder="1" applyAlignment="1">
      <alignment wrapText="1"/>
    </xf>
    <xf numFmtId="1" fontId="0" fillId="4" borderId="12" xfId="0" applyNumberFormat="1" applyFill="1" applyBorder="1" applyAlignment="1">
      <alignment horizontal="center" vertical="center"/>
    </xf>
    <xf numFmtId="0" fontId="0" fillId="3" borderId="15" xfId="0" applyFill="1" applyBorder="1"/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horizontal="center" vertical="center"/>
    </xf>
    <xf numFmtId="0" fontId="1" fillId="2" borderId="17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164" fontId="0" fillId="4" borderId="15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3" borderId="14" xfId="0" applyFill="1" applyBorder="1"/>
    <xf numFmtId="0" fontId="0" fillId="3" borderId="9" xfId="0" applyFill="1" applyBorder="1"/>
    <xf numFmtId="0" fontId="0" fillId="3" borderId="11" xfId="0" applyFill="1" applyBorder="1"/>
    <xf numFmtId="165" fontId="0" fillId="4" borderId="8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15" xfId="0" applyNumberFormat="1" applyFill="1" applyBorder="1" applyAlignment="1">
      <alignment horizontal="center" vertical="center"/>
    </xf>
    <xf numFmtId="165" fontId="0" fillId="4" borderId="12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21" xfId="0" applyFill="1" applyBorder="1"/>
    <xf numFmtId="0" fontId="0" fillId="3" borderId="22" xfId="0" applyFill="1" applyBorder="1" applyAlignment="1">
      <alignment wrapText="1"/>
    </xf>
    <xf numFmtId="0" fontId="0" fillId="4" borderId="22" xfId="0" applyFill="1" applyBorder="1" applyAlignment="1">
      <alignment horizontal="center" vertical="center"/>
    </xf>
    <xf numFmtId="49" fontId="0" fillId="4" borderId="8" xfId="0" applyNumberFormat="1" applyFill="1" applyBorder="1" applyAlignment="1">
      <alignment horizontal="center" vertical="center"/>
    </xf>
    <xf numFmtId="0" fontId="1" fillId="0" borderId="27" xfId="0" applyFont="1" applyBorder="1"/>
    <xf numFmtId="0" fontId="1" fillId="0" borderId="28" xfId="0" applyFont="1" applyBorder="1"/>
    <xf numFmtId="0" fontId="1" fillId="0" borderId="29" xfId="0" applyFont="1" applyBorder="1"/>
    <xf numFmtId="0" fontId="0" fillId="5" borderId="30" xfId="0" applyFill="1" applyBorder="1"/>
    <xf numFmtId="0" fontId="0" fillId="0" borderId="31" xfId="0" applyBorder="1"/>
    <xf numFmtId="0" fontId="0" fillId="6" borderId="30" xfId="0" applyFill="1" applyBorder="1"/>
    <xf numFmtId="0" fontId="0" fillId="7" borderId="30" xfId="0" applyFill="1" applyBorder="1"/>
    <xf numFmtId="0" fontId="0" fillId="8" borderId="27" xfId="0" applyFill="1" applyBorder="1"/>
    <xf numFmtId="0" fontId="0" fillId="0" borderId="28" xfId="0" applyBorder="1"/>
    <xf numFmtId="0" fontId="0" fillId="0" borderId="29" xfId="0" applyBorder="1"/>
    <xf numFmtId="0" fontId="0" fillId="8" borderId="8" xfId="0" applyFill="1" applyBorder="1"/>
    <xf numFmtId="0" fontId="0" fillId="8" borderId="12" xfId="0" applyFill="1" applyBorder="1"/>
    <xf numFmtId="0" fontId="0" fillId="8" borderId="15" xfId="0" applyFill="1" applyBorder="1"/>
    <xf numFmtId="0" fontId="0" fillId="8" borderId="8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2" xfId="0" applyFill="1" applyBorder="1"/>
    <xf numFmtId="0" fontId="0" fillId="8" borderId="15" xfId="0" applyFill="1" applyBorder="1" applyAlignment="1">
      <alignment vertical="center"/>
    </xf>
    <xf numFmtId="0" fontId="0" fillId="8" borderId="8" xfId="0" applyFill="1" applyBorder="1" applyAlignment="1">
      <alignment vertical="center"/>
    </xf>
    <xf numFmtId="0" fontId="0" fillId="8" borderId="12" xfId="0" applyFill="1" applyBorder="1" applyAlignment="1">
      <alignment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5AC4-52E1-45C0-83AC-CC64B56C05A9}">
  <dimension ref="A1:L18"/>
  <sheetViews>
    <sheetView workbookViewId="0">
      <selection activeCell="B5" sqref="B5"/>
    </sheetView>
  </sheetViews>
  <sheetFormatPr defaultRowHeight="14.4" x14ac:dyDescent="0.3"/>
  <cols>
    <col min="2" max="2" width="18.88671875" bestFit="1" customWidth="1"/>
    <col min="3" max="3" width="10.109375" bestFit="1" customWidth="1"/>
    <col min="4" max="4" width="45.77734375" customWidth="1"/>
    <col min="5" max="6" width="13.77734375" bestFit="1" customWidth="1"/>
    <col min="10" max="10" width="10.44140625" bestFit="1" customWidth="1"/>
    <col min="11" max="11" width="51.33203125" bestFit="1" customWidth="1"/>
  </cols>
  <sheetData>
    <row r="1" spans="1:12" x14ac:dyDescent="0.3">
      <c r="A1" s="4" t="s">
        <v>6</v>
      </c>
      <c r="B1" t="s">
        <v>232</v>
      </c>
    </row>
    <row r="2" spans="1:12" x14ac:dyDescent="0.3">
      <c r="A2" s="4" t="s">
        <v>7</v>
      </c>
      <c r="B2" t="s">
        <v>11</v>
      </c>
    </row>
    <row r="3" spans="1:12" x14ac:dyDescent="0.3">
      <c r="A3" s="4" t="s">
        <v>8</v>
      </c>
      <c r="B3" t="s">
        <v>233</v>
      </c>
    </row>
    <row r="4" spans="1:12" x14ac:dyDescent="0.3">
      <c r="A4" s="4" t="s">
        <v>9</v>
      </c>
      <c r="B4" t="s">
        <v>245</v>
      </c>
    </row>
    <row r="12" spans="1:12" ht="15" thickBot="1" x14ac:dyDescent="0.35"/>
    <row r="13" spans="1:12" ht="15" thickBot="1" x14ac:dyDescent="0.35">
      <c r="A13" s="2" t="s">
        <v>0</v>
      </c>
      <c r="B13" s="1" t="s">
        <v>8</v>
      </c>
      <c r="C13" s="1" t="s">
        <v>6</v>
      </c>
      <c r="D13" s="1" t="s">
        <v>13</v>
      </c>
      <c r="E13" s="1" t="s">
        <v>14</v>
      </c>
      <c r="F13" s="1" t="s">
        <v>15</v>
      </c>
      <c r="J13" s="64" t="s">
        <v>234</v>
      </c>
      <c r="K13" s="65"/>
      <c r="L13" s="66"/>
    </row>
    <row r="14" spans="1:12" ht="15.6" thickTop="1" thickBot="1" x14ac:dyDescent="0.35">
      <c r="A14" s="3">
        <v>1</v>
      </c>
      <c r="B14" t="s">
        <v>12</v>
      </c>
      <c r="C14" t="s">
        <v>10</v>
      </c>
      <c r="D14" t="s">
        <v>32</v>
      </c>
      <c r="E14" t="s">
        <v>16</v>
      </c>
      <c r="F14" t="s">
        <v>16</v>
      </c>
      <c r="J14" s="39" t="s">
        <v>235</v>
      </c>
      <c r="K14" s="40" t="s">
        <v>236</v>
      </c>
      <c r="L14" s="41" t="s">
        <v>237</v>
      </c>
    </row>
    <row r="15" spans="1:12" x14ac:dyDescent="0.3">
      <c r="A15" s="3">
        <v>2</v>
      </c>
      <c r="B15" t="s">
        <v>17</v>
      </c>
      <c r="C15" t="s">
        <v>18</v>
      </c>
      <c r="D15" t="s">
        <v>19</v>
      </c>
      <c r="E15" t="s">
        <v>16</v>
      </c>
      <c r="F15" t="s">
        <v>16</v>
      </c>
      <c r="J15" s="42"/>
      <c r="K15" t="s">
        <v>238</v>
      </c>
      <c r="L15" s="43" t="s">
        <v>239</v>
      </c>
    </row>
    <row r="16" spans="1:12" x14ac:dyDescent="0.3">
      <c r="A16" s="3">
        <v>3</v>
      </c>
      <c r="B16" t="s">
        <v>233</v>
      </c>
      <c r="C16" t="s">
        <v>232</v>
      </c>
      <c r="D16" t="s">
        <v>240</v>
      </c>
      <c r="E16" t="s">
        <v>16</v>
      </c>
      <c r="F16" t="s">
        <v>16</v>
      </c>
      <c r="J16" s="44"/>
      <c r="K16" t="s">
        <v>241</v>
      </c>
      <c r="L16" s="43" t="s">
        <v>242</v>
      </c>
    </row>
    <row r="17" spans="1:12" x14ac:dyDescent="0.3">
      <c r="A17" s="3">
        <v>4</v>
      </c>
      <c r="J17" s="45"/>
      <c r="K17" t="s">
        <v>243</v>
      </c>
      <c r="L17" s="43" t="s">
        <v>242</v>
      </c>
    </row>
    <row r="18" spans="1:12" ht="15" thickBot="1" x14ac:dyDescent="0.35">
      <c r="A18" s="3">
        <v>5</v>
      </c>
      <c r="J18" s="46"/>
      <c r="K18" s="47" t="s">
        <v>244</v>
      </c>
      <c r="L18" s="48" t="s">
        <v>239</v>
      </c>
    </row>
  </sheetData>
  <mergeCells count="1">
    <mergeCell ref="J13:L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857B-5D2E-4BE1-B462-B4B5EEAA4370}">
  <dimension ref="A1:F8"/>
  <sheetViews>
    <sheetView workbookViewId="0">
      <selection activeCell="C20" sqref="C20"/>
    </sheetView>
  </sheetViews>
  <sheetFormatPr defaultRowHeight="14.4" x14ac:dyDescent="0.3"/>
  <cols>
    <col min="1" max="1" width="18.77734375" bestFit="1" customWidth="1"/>
    <col min="2" max="2" width="13.109375" customWidth="1"/>
    <col min="3" max="3" width="48" bestFit="1" customWidth="1"/>
    <col min="4" max="4" width="10.21875" customWidth="1"/>
  </cols>
  <sheetData>
    <row r="1" spans="1:6" ht="15" thickBot="1" x14ac:dyDescent="0.35">
      <c r="A1" s="19" t="s">
        <v>1</v>
      </c>
      <c r="B1" s="20" t="s">
        <v>24</v>
      </c>
      <c r="C1" s="20" t="s">
        <v>20</v>
      </c>
      <c r="D1" s="21" t="s">
        <v>3</v>
      </c>
      <c r="E1" s="20" t="s">
        <v>21</v>
      </c>
      <c r="F1" s="22" t="s">
        <v>2</v>
      </c>
    </row>
    <row r="2" spans="1:6" ht="29.4" thickTop="1" x14ac:dyDescent="0.3">
      <c r="A2" s="33" t="s">
        <v>48</v>
      </c>
      <c r="B2" s="49"/>
      <c r="C2" s="10" t="s">
        <v>42</v>
      </c>
      <c r="D2" s="52" t="s">
        <v>35</v>
      </c>
      <c r="E2" s="11">
        <v>1</v>
      </c>
      <c r="F2" s="55" t="s">
        <v>22</v>
      </c>
    </row>
    <row r="3" spans="1:6" ht="28.8" x14ac:dyDescent="0.3">
      <c r="A3" s="33" t="s">
        <v>49</v>
      </c>
      <c r="B3" s="49"/>
      <c r="C3" s="10" t="s">
        <v>43</v>
      </c>
      <c r="D3" s="52" t="s">
        <v>36</v>
      </c>
      <c r="E3" s="11" t="s">
        <v>112</v>
      </c>
      <c r="F3" s="55" t="s">
        <v>22</v>
      </c>
    </row>
    <row r="4" spans="1:6" ht="43.8" thickBot="1" x14ac:dyDescent="0.35">
      <c r="A4" s="34" t="s">
        <v>50</v>
      </c>
      <c r="B4" s="50"/>
      <c r="C4" s="14" t="s">
        <v>44</v>
      </c>
      <c r="D4" s="53" t="s">
        <v>37</v>
      </c>
      <c r="E4" s="24" t="s">
        <v>231</v>
      </c>
      <c r="F4" s="56" t="s">
        <v>22</v>
      </c>
    </row>
    <row r="5" spans="1:6" x14ac:dyDescent="0.3">
      <c r="A5" s="32" t="s">
        <v>51</v>
      </c>
      <c r="B5" s="51"/>
      <c r="C5" s="17" t="s">
        <v>55</v>
      </c>
      <c r="D5" s="54" t="s">
        <v>38</v>
      </c>
      <c r="E5" s="23">
        <v>500000</v>
      </c>
      <c r="F5" s="57" t="s">
        <v>28</v>
      </c>
    </row>
    <row r="6" spans="1:6" ht="28.8" x14ac:dyDescent="0.3">
      <c r="A6" s="33" t="s">
        <v>52</v>
      </c>
      <c r="B6" s="49"/>
      <c r="C6" s="10" t="s">
        <v>45</v>
      </c>
      <c r="D6" s="52" t="s">
        <v>39</v>
      </c>
      <c r="E6" s="12">
        <v>1E-3</v>
      </c>
      <c r="F6" s="55" t="s">
        <v>22</v>
      </c>
    </row>
    <row r="7" spans="1:6" x14ac:dyDescent="0.3">
      <c r="A7" s="33" t="s">
        <v>53</v>
      </c>
      <c r="B7" s="49"/>
      <c r="C7" s="10" t="s">
        <v>46</v>
      </c>
      <c r="D7" s="52" t="s">
        <v>40</v>
      </c>
      <c r="E7" s="12">
        <v>9.9999999999999998E-13</v>
      </c>
      <c r="F7" s="55" t="s">
        <v>22</v>
      </c>
    </row>
    <row r="8" spans="1:6" ht="15" thickBot="1" x14ac:dyDescent="0.35">
      <c r="A8" s="34" t="s">
        <v>54</v>
      </c>
      <c r="B8" s="50"/>
      <c r="C8" s="14" t="s">
        <v>47</v>
      </c>
      <c r="D8" s="53" t="s">
        <v>41</v>
      </c>
      <c r="E8" s="15">
        <v>20</v>
      </c>
      <c r="F8" s="56" t="s">
        <v>22</v>
      </c>
    </row>
  </sheetData>
  <dataValidations count="7">
    <dataValidation type="list" allowBlank="1" showInputMessage="1" showErrorMessage="1" sqref="E2" xr:uid="{AC9A4A0E-EBB7-409B-9C1B-00990BA8FA52}">
      <formula1>"0, 1"</formula1>
    </dataValidation>
    <dataValidation type="list" allowBlank="1" showInputMessage="1" showErrorMessage="1" sqref="E3" xr:uid="{2EF9C1B3-6203-4C9F-84AB-5CA2C3AA5A17}">
      <formula1>"fs, fel"</formula1>
    </dataValidation>
    <dataValidation type="list" allowBlank="1" showInputMessage="1" showErrorMessage="1" sqref="E4" xr:uid="{8017D624-A5E0-4FB8-A8CC-D4FCCBE3DB93}">
      <formula1>"none, fs, fel"</formula1>
    </dataValidation>
    <dataValidation type="decimal" allowBlank="1" showInputMessage="1" showErrorMessage="1" sqref="E7" xr:uid="{3A8F9004-79E8-4CDC-AC50-BEA72D3C88DD}">
      <formula1>0.000000000000001</formula1>
      <formula2>0.00001</formula2>
    </dataValidation>
    <dataValidation type="whole" allowBlank="1" showInputMessage="1" showErrorMessage="1" sqref="E8" xr:uid="{993A6F34-E980-4A66-9565-D84E825FA065}">
      <formula1>3</formula1>
      <formula2>100</formula2>
    </dataValidation>
    <dataValidation type="decimal" allowBlank="1" showInputMessage="1" showErrorMessage="1" sqref="E6" xr:uid="{FFA95E7D-0FA9-4C42-9BE0-2657DBE7E9DB}">
      <formula1>0.000000001</formula1>
      <formula2>0.1</formula2>
    </dataValidation>
    <dataValidation type="whole" allowBlank="1" showInputMessage="1" showErrorMessage="1" sqref="E5" xr:uid="{E54ED088-4FB7-429D-910B-F71618C430C1}">
      <formula1>10000</formula1>
      <formula2>1000000000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0CFD-1D2B-4FE4-A04E-A3C453840C86}">
  <dimension ref="A1:F16"/>
  <sheetViews>
    <sheetView tabSelected="1" workbookViewId="0">
      <selection activeCell="C37" sqref="C37"/>
    </sheetView>
  </sheetViews>
  <sheetFormatPr defaultRowHeight="14.4" x14ac:dyDescent="0.3"/>
  <cols>
    <col min="1" max="1" width="17.33203125" bestFit="1" customWidth="1"/>
    <col min="3" max="3" width="58.441406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15" thickTop="1" x14ac:dyDescent="0.3">
      <c r="A2" s="25" t="s">
        <v>95</v>
      </c>
      <c r="B2" s="51" t="s">
        <v>56</v>
      </c>
      <c r="C2" s="16" t="s">
        <v>57</v>
      </c>
      <c r="D2" s="54" t="s">
        <v>58</v>
      </c>
      <c r="E2" s="18">
        <v>4</v>
      </c>
      <c r="F2" s="57" t="s">
        <v>22</v>
      </c>
    </row>
    <row r="3" spans="1:6" x14ac:dyDescent="0.3">
      <c r="A3" s="26" t="s">
        <v>92</v>
      </c>
      <c r="B3" s="49" t="s">
        <v>56</v>
      </c>
      <c r="C3" s="9" t="s">
        <v>69</v>
      </c>
      <c r="D3" s="52" t="s">
        <v>26</v>
      </c>
      <c r="E3" s="11">
        <v>20</v>
      </c>
      <c r="F3" s="55" t="s">
        <v>22</v>
      </c>
    </row>
    <row r="4" spans="1:6" x14ac:dyDescent="0.3">
      <c r="A4" s="26" t="s">
        <v>93</v>
      </c>
      <c r="B4" s="49" t="s">
        <v>56</v>
      </c>
      <c r="C4" s="9" t="s">
        <v>70</v>
      </c>
      <c r="D4" s="52" t="s">
        <v>59</v>
      </c>
      <c r="E4" s="28">
        <v>25</v>
      </c>
      <c r="F4" s="55" t="s">
        <v>29</v>
      </c>
    </row>
    <row r="5" spans="1:6" x14ac:dyDescent="0.3">
      <c r="A5" s="26" t="s">
        <v>94</v>
      </c>
      <c r="B5" s="49" t="s">
        <v>56</v>
      </c>
      <c r="C5" s="9" t="s">
        <v>71</v>
      </c>
      <c r="D5" s="52" t="s">
        <v>60</v>
      </c>
      <c r="E5" s="28">
        <v>25</v>
      </c>
      <c r="F5" s="55" t="s">
        <v>29</v>
      </c>
    </row>
    <row r="6" spans="1:6" x14ac:dyDescent="0.3">
      <c r="A6" s="26" t="s">
        <v>84</v>
      </c>
      <c r="B6" s="49" t="s">
        <v>56</v>
      </c>
      <c r="C6" s="9" t="s">
        <v>72</v>
      </c>
      <c r="D6" s="52" t="s">
        <v>61</v>
      </c>
      <c r="E6" s="11">
        <v>1000</v>
      </c>
      <c r="F6" s="55" t="s">
        <v>26</v>
      </c>
    </row>
    <row r="7" spans="1:6" x14ac:dyDescent="0.3">
      <c r="A7" s="26" t="s">
        <v>85</v>
      </c>
      <c r="B7" s="49" t="s">
        <v>56</v>
      </c>
      <c r="C7" s="9" t="s">
        <v>73</v>
      </c>
      <c r="D7" s="52" t="s">
        <v>62</v>
      </c>
      <c r="E7" s="11">
        <v>500</v>
      </c>
      <c r="F7" s="55" t="s">
        <v>76</v>
      </c>
    </row>
    <row r="8" spans="1:6" x14ac:dyDescent="0.3">
      <c r="A8" s="26" t="s">
        <v>86</v>
      </c>
      <c r="B8" s="49" t="s">
        <v>56</v>
      </c>
      <c r="C8" s="9" t="s">
        <v>74</v>
      </c>
      <c r="D8" s="52" t="s">
        <v>63</v>
      </c>
      <c r="E8" s="11">
        <v>50</v>
      </c>
      <c r="F8" s="55" t="s">
        <v>4</v>
      </c>
    </row>
    <row r="9" spans="1:6" x14ac:dyDescent="0.3">
      <c r="A9" s="26" t="s">
        <v>87</v>
      </c>
      <c r="B9" s="49" t="s">
        <v>56</v>
      </c>
      <c r="C9" s="9" t="s">
        <v>75</v>
      </c>
      <c r="D9" s="52" t="s">
        <v>64</v>
      </c>
      <c r="E9" s="11">
        <v>75</v>
      </c>
      <c r="F9" s="55" t="s">
        <v>5</v>
      </c>
    </row>
    <row r="10" spans="1:6" x14ac:dyDescent="0.3">
      <c r="A10" s="26" t="s">
        <v>251</v>
      </c>
      <c r="B10" s="49" t="s">
        <v>56</v>
      </c>
      <c r="C10" s="9" t="s">
        <v>252</v>
      </c>
      <c r="D10" s="52" t="s">
        <v>253</v>
      </c>
      <c r="E10" s="11">
        <v>10</v>
      </c>
      <c r="F10" s="55" t="s">
        <v>80</v>
      </c>
    </row>
    <row r="11" spans="1:6" x14ac:dyDescent="0.3">
      <c r="A11" s="26" t="s">
        <v>88</v>
      </c>
      <c r="B11" s="49" t="s">
        <v>56</v>
      </c>
      <c r="C11" s="9" t="s">
        <v>77</v>
      </c>
      <c r="D11" s="52" t="s">
        <v>33</v>
      </c>
      <c r="E11" s="29">
        <v>1</v>
      </c>
      <c r="F11" s="55" t="s">
        <v>31</v>
      </c>
    </row>
    <row r="12" spans="1:6" x14ac:dyDescent="0.3">
      <c r="A12" s="26" t="s">
        <v>91</v>
      </c>
      <c r="B12" s="49" t="s">
        <v>56</v>
      </c>
      <c r="C12" s="9" t="s">
        <v>78</v>
      </c>
      <c r="D12" s="52" t="s">
        <v>65</v>
      </c>
      <c r="E12" s="11">
        <v>600</v>
      </c>
      <c r="F12" s="55" t="s">
        <v>4</v>
      </c>
    </row>
    <row r="13" spans="1:6" ht="15" thickBot="1" x14ac:dyDescent="0.35">
      <c r="A13" s="27" t="s">
        <v>89</v>
      </c>
      <c r="B13" s="50" t="s">
        <v>56</v>
      </c>
      <c r="C13" s="13" t="s">
        <v>79</v>
      </c>
      <c r="D13" s="53" t="s">
        <v>66</v>
      </c>
      <c r="E13" s="24">
        <v>0</v>
      </c>
      <c r="F13" s="56" t="s">
        <v>80</v>
      </c>
    </row>
    <row r="14" spans="1:6" x14ac:dyDescent="0.3">
      <c r="A14" s="25" t="s">
        <v>90</v>
      </c>
      <c r="B14" s="51" t="s">
        <v>68</v>
      </c>
      <c r="C14" s="16" t="s">
        <v>82</v>
      </c>
      <c r="D14" s="54" t="s">
        <v>67</v>
      </c>
      <c r="E14" s="30">
        <v>0.5</v>
      </c>
      <c r="F14" s="57" t="s">
        <v>81</v>
      </c>
    </row>
    <row r="15" spans="1:6" x14ac:dyDescent="0.3">
      <c r="A15" s="26" t="s">
        <v>94</v>
      </c>
      <c r="B15" s="49" t="s">
        <v>68</v>
      </c>
      <c r="C15" s="9" t="s">
        <v>71</v>
      </c>
      <c r="D15" s="52" t="s">
        <v>60</v>
      </c>
      <c r="E15" s="28">
        <v>25</v>
      </c>
      <c r="F15" s="55" t="s">
        <v>29</v>
      </c>
    </row>
    <row r="16" spans="1:6" ht="15" thickBot="1" x14ac:dyDescent="0.35">
      <c r="A16" s="27" t="s">
        <v>93</v>
      </c>
      <c r="B16" s="50" t="s">
        <v>68</v>
      </c>
      <c r="C16" s="13" t="s">
        <v>83</v>
      </c>
      <c r="D16" s="53" t="s">
        <v>59</v>
      </c>
      <c r="E16" s="31">
        <v>25</v>
      </c>
      <c r="F16" s="56" t="s">
        <v>29</v>
      </c>
    </row>
  </sheetData>
  <dataValidations count="3">
    <dataValidation type="whole" allowBlank="1" showInputMessage="1" showErrorMessage="1" sqref="E2" xr:uid="{8170ABBA-EB6E-42CB-B5F9-F90C47BC86FE}">
      <formula1>4</formula1>
      <formula2>10</formula2>
    </dataValidation>
    <dataValidation type="whole" allowBlank="1" showInputMessage="1" showErrorMessage="1" sqref="E3" xr:uid="{DBD470DF-3268-4716-AFCF-6E4CAB695C40}">
      <formula1>5</formula1>
      <formula2>100</formula2>
    </dataValidation>
    <dataValidation type="decimal" allowBlank="1" showInputMessage="1" showErrorMessage="1" sqref="E11" xr:uid="{509CB883-7406-4BD7-9F12-E7F3076592AF}">
      <formula1>0</formula1>
      <formula2>1.273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BFCB-8244-4B83-8CC9-EBD2890613E5}">
  <dimension ref="A1:F16"/>
  <sheetViews>
    <sheetView workbookViewId="0">
      <selection activeCell="G23" sqref="G23"/>
    </sheetView>
  </sheetViews>
  <sheetFormatPr defaultRowHeight="14.4" x14ac:dyDescent="0.3"/>
  <cols>
    <col min="3" max="3" width="48.6640625" customWidth="1"/>
    <col min="4" max="4" width="10.33203125" bestFit="1" customWidth="1"/>
    <col min="5" max="5" width="13.33203125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44.4" thickTop="1" thickBot="1" x14ac:dyDescent="0.35">
      <c r="A2" s="35" t="s">
        <v>130</v>
      </c>
      <c r="B2" s="60"/>
      <c r="C2" s="36" t="s">
        <v>114</v>
      </c>
      <c r="D2" s="58" t="s">
        <v>96</v>
      </c>
      <c r="E2" s="37" t="s">
        <v>98</v>
      </c>
      <c r="F2" s="59" t="s">
        <v>22</v>
      </c>
    </row>
    <row r="3" spans="1:6" ht="28.8" x14ac:dyDescent="0.3">
      <c r="A3" s="25"/>
      <c r="B3" s="51"/>
      <c r="C3" s="17" t="s">
        <v>115</v>
      </c>
      <c r="D3" s="54" t="s">
        <v>99</v>
      </c>
      <c r="E3" s="18">
        <v>0</v>
      </c>
      <c r="F3" s="57" t="s">
        <v>22</v>
      </c>
    </row>
    <row r="4" spans="1:6" x14ac:dyDescent="0.3">
      <c r="A4" s="26"/>
      <c r="B4" s="49"/>
      <c r="C4" s="9" t="s">
        <v>116</v>
      </c>
      <c r="D4" s="52" t="s">
        <v>100</v>
      </c>
      <c r="E4" s="11">
        <v>0.2</v>
      </c>
      <c r="F4" s="55" t="s">
        <v>23</v>
      </c>
    </row>
    <row r="5" spans="1:6" x14ac:dyDescent="0.3">
      <c r="A5" s="26"/>
      <c r="B5" s="49"/>
      <c r="C5" s="9" t="s">
        <v>117</v>
      </c>
      <c r="D5" s="52" t="s">
        <v>101</v>
      </c>
      <c r="E5" s="12">
        <v>1E-3</v>
      </c>
      <c r="F5" s="55" t="s">
        <v>119</v>
      </c>
    </row>
    <row r="6" spans="1:6" x14ac:dyDescent="0.3">
      <c r="A6" s="26"/>
      <c r="B6" s="49"/>
      <c r="C6" s="9" t="s">
        <v>118</v>
      </c>
      <c r="D6" s="52" t="s">
        <v>102</v>
      </c>
      <c r="E6" s="12">
        <v>5.0000000000000001E-4</v>
      </c>
      <c r="F6" s="55" t="s">
        <v>120</v>
      </c>
    </row>
    <row r="7" spans="1:6" ht="28.8" x14ac:dyDescent="0.3">
      <c r="A7" s="26"/>
      <c r="B7" s="49"/>
      <c r="C7" s="10" t="s">
        <v>121</v>
      </c>
      <c r="D7" s="52" t="s">
        <v>103</v>
      </c>
      <c r="E7" s="11">
        <v>0</v>
      </c>
      <c r="F7" s="55" t="s">
        <v>22</v>
      </c>
    </row>
    <row r="8" spans="1:6" x14ac:dyDescent="0.3">
      <c r="A8" s="26"/>
      <c r="B8" s="49"/>
      <c r="C8" s="9" t="s">
        <v>122</v>
      </c>
      <c r="D8" s="52" t="s">
        <v>104</v>
      </c>
      <c r="E8" s="11">
        <v>0</v>
      </c>
      <c r="F8" s="55" t="s">
        <v>23</v>
      </c>
    </row>
    <row r="9" spans="1:6" x14ac:dyDescent="0.3">
      <c r="A9" s="26"/>
      <c r="B9" s="49"/>
      <c r="C9" s="9" t="s">
        <v>123</v>
      </c>
      <c r="D9" s="52" t="s">
        <v>105</v>
      </c>
      <c r="E9" s="12">
        <v>1E-3</v>
      </c>
      <c r="F9" s="55" t="s">
        <v>119</v>
      </c>
    </row>
    <row r="10" spans="1:6" x14ac:dyDescent="0.3">
      <c r="A10" s="26"/>
      <c r="B10" s="49"/>
      <c r="C10" s="9" t="s">
        <v>124</v>
      </c>
      <c r="D10" s="52" t="s">
        <v>106</v>
      </c>
      <c r="E10" s="12">
        <v>1E-3</v>
      </c>
      <c r="F10" s="55" t="s">
        <v>120</v>
      </c>
    </row>
    <row r="11" spans="1:6" x14ac:dyDescent="0.3">
      <c r="A11" s="26"/>
      <c r="B11" s="49"/>
      <c r="C11" s="9" t="s">
        <v>125</v>
      </c>
      <c r="D11" s="52" t="s">
        <v>107</v>
      </c>
      <c r="E11" s="12">
        <v>2</v>
      </c>
      <c r="F11" s="55" t="s">
        <v>23</v>
      </c>
    </row>
    <row r="12" spans="1:6" x14ac:dyDescent="0.3">
      <c r="A12" s="26"/>
      <c r="B12" s="49"/>
      <c r="C12" s="9" t="s">
        <v>126</v>
      </c>
      <c r="D12" s="52" t="s">
        <v>108</v>
      </c>
      <c r="E12" s="12">
        <v>2E-3</v>
      </c>
      <c r="F12" s="55" t="s">
        <v>119</v>
      </c>
    </row>
    <row r="13" spans="1:6" x14ac:dyDescent="0.3">
      <c r="A13" s="26"/>
      <c r="B13" s="49"/>
      <c r="C13" s="9" t="s">
        <v>127</v>
      </c>
      <c r="D13" s="52" t="s">
        <v>109</v>
      </c>
      <c r="E13" s="12">
        <v>0</v>
      </c>
      <c r="F13" s="55" t="s">
        <v>4</v>
      </c>
    </row>
    <row r="14" spans="1:6" x14ac:dyDescent="0.3">
      <c r="A14" s="26"/>
      <c r="B14" s="49"/>
      <c r="C14" s="9" t="s">
        <v>128</v>
      </c>
      <c r="D14" s="52" t="s">
        <v>110</v>
      </c>
      <c r="E14" s="12">
        <v>0</v>
      </c>
      <c r="F14" s="55" t="s">
        <v>80</v>
      </c>
    </row>
    <row r="15" spans="1:6" ht="57.6" x14ac:dyDescent="0.3">
      <c r="A15" s="26"/>
      <c r="B15" s="49"/>
      <c r="C15" s="10" t="s">
        <v>248</v>
      </c>
      <c r="D15" s="52" t="s">
        <v>111</v>
      </c>
      <c r="E15" s="12" t="s">
        <v>113</v>
      </c>
      <c r="F15" s="55" t="s">
        <v>22</v>
      </c>
    </row>
    <row r="16" spans="1:6" ht="15" thickBot="1" x14ac:dyDescent="0.35">
      <c r="A16" s="27"/>
      <c r="B16" s="50"/>
      <c r="C16" s="13" t="s">
        <v>129</v>
      </c>
      <c r="D16" s="53" t="s">
        <v>112</v>
      </c>
      <c r="E16" s="15">
        <v>50</v>
      </c>
      <c r="F16" s="56" t="s">
        <v>28</v>
      </c>
    </row>
  </sheetData>
  <dataValidations count="4">
    <dataValidation type="list" allowBlank="1" showInputMessage="1" showErrorMessage="1" sqref="E2" xr:uid="{0F686018-17E9-412D-8844-1F931AF446BB}">
      <formula1>"B2, B4, B6"</formula1>
    </dataValidation>
    <dataValidation type="list" allowBlank="1" showInputMessage="1" showErrorMessage="1" sqref="E3 E7" xr:uid="{B15B84C4-EBF9-4333-860D-2E332145069A}">
      <formula1>"0, 1"</formula1>
    </dataValidation>
    <dataValidation type="decimal" allowBlank="1" showInputMessage="1" showErrorMessage="1" sqref="E4" xr:uid="{3815D881-1D9F-4D61-9797-2C577C4C7917}">
      <formula1>0</formula1>
      <formula2>10000</formula2>
    </dataValidation>
    <dataValidation type="list" allowBlank="1" showInputMessage="1" showErrorMessage="1" sqref="E15" xr:uid="{57DF397D-0405-4640-86A0-348060BC68E3}">
      <formula1>"con, sin, tri, tra"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F0A-B85A-4162-A12D-AC7176B54015}">
  <dimension ref="A1:F34"/>
  <sheetViews>
    <sheetView topLeftCell="A16" zoomScale="70" zoomScaleNormal="70" workbookViewId="0">
      <selection activeCell="N25" sqref="N25"/>
    </sheetView>
  </sheetViews>
  <sheetFormatPr defaultRowHeight="14.4" x14ac:dyDescent="0.3"/>
  <cols>
    <col min="1" max="1" width="17.44140625" bestFit="1" customWidth="1"/>
    <col min="3" max="3" width="63.33203125" customWidth="1"/>
    <col min="4" max="4" width="10" bestFit="1" customWidth="1"/>
  </cols>
  <sheetData>
    <row r="1" spans="1:6" ht="15" thickBot="1" x14ac:dyDescent="0.35">
      <c r="A1" s="5" t="s">
        <v>1</v>
      </c>
      <c r="B1" s="6" t="s">
        <v>24</v>
      </c>
      <c r="C1" s="6" t="s">
        <v>20</v>
      </c>
      <c r="D1" s="7" t="s">
        <v>3</v>
      </c>
      <c r="E1" s="6" t="s">
        <v>21</v>
      </c>
      <c r="F1" s="8" t="s">
        <v>2</v>
      </c>
    </row>
    <row r="2" spans="1:6" ht="72.599999999999994" thickTop="1" x14ac:dyDescent="0.3">
      <c r="A2" s="32" t="s">
        <v>202</v>
      </c>
      <c r="B2" s="61" t="s">
        <v>141</v>
      </c>
      <c r="C2" s="17" t="s">
        <v>246</v>
      </c>
      <c r="D2" s="54" t="s">
        <v>34</v>
      </c>
      <c r="E2" s="18" t="s">
        <v>142</v>
      </c>
      <c r="F2" s="57" t="s">
        <v>22</v>
      </c>
    </row>
    <row r="3" spans="1:6" ht="28.8" x14ac:dyDescent="0.3">
      <c r="A3" s="33" t="s">
        <v>203</v>
      </c>
      <c r="B3" s="62" t="s">
        <v>141</v>
      </c>
      <c r="C3" s="10" t="s">
        <v>172</v>
      </c>
      <c r="D3" s="52" t="s">
        <v>131</v>
      </c>
      <c r="E3" s="11" t="s">
        <v>143</v>
      </c>
      <c r="F3" s="55" t="s">
        <v>22</v>
      </c>
    </row>
    <row r="4" spans="1:6" ht="28.8" x14ac:dyDescent="0.3">
      <c r="A4" s="33" t="s">
        <v>204</v>
      </c>
      <c r="B4" s="62" t="s">
        <v>141</v>
      </c>
      <c r="C4" s="10" t="s">
        <v>173</v>
      </c>
      <c r="D4" s="52" t="s">
        <v>132</v>
      </c>
      <c r="E4" s="11" t="s">
        <v>144</v>
      </c>
      <c r="F4" s="55" t="s">
        <v>22</v>
      </c>
    </row>
    <row r="5" spans="1:6" ht="57.6" x14ac:dyDescent="0.3">
      <c r="A5" s="33" t="s">
        <v>205</v>
      </c>
      <c r="B5" s="62" t="s">
        <v>141</v>
      </c>
      <c r="C5" s="10" t="s">
        <v>174</v>
      </c>
      <c r="D5" s="52" t="s">
        <v>133</v>
      </c>
      <c r="E5" s="11" t="s">
        <v>145</v>
      </c>
      <c r="F5" s="55" t="s">
        <v>22</v>
      </c>
    </row>
    <row r="6" spans="1:6" ht="28.8" x14ac:dyDescent="0.3">
      <c r="A6" s="33" t="s">
        <v>206</v>
      </c>
      <c r="B6" s="62" t="s">
        <v>141</v>
      </c>
      <c r="C6" s="10" t="s">
        <v>175</v>
      </c>
      <c r="D6" s="52" t="s">
        <v>41</v>
      </c>
      <c r="E6" s="11">
        <v>0</v>
      </c>
      <c r="F6" s="55" t="s">
        <v>22</v>
      </c>
    </row>
    <row r="7" spans="1:6" x14ac:dyDescent="0.3">
      <c r="A7" s="33" t="s">
        <v>207</v>
      </c>
      <c r="B7" s="62" t="s">
        <v>141</v>
      </c>
      <c r="C7" s="10" t="s">
        <v>177</v>
      </c>
      <c r="D7" s="52" t="s">
        <v>134</v>
      </c>
      <c r="E7" s="11">
        <v>0</v>
      </c>
      <c r="F7" s="55" t="s">
        <v>81</v>
      </c>
    </row>
    <row r="8" spans="1:6" x14ac:dyDescent="0.3">
      <c r="A8" s="33" t="s">
        <v>208</v>
      </c>
      <c r="B8" s="62" t="s">
        <v>141</v>
      </c>
      <c r="C8" s="10" t="s">
        <v>176</v>
      </c>
      <c r="D8" s="52" t="s">
        <v>135</v>
      </c>
      <c r="E8" s="11">
        <v>0</v>
      </c>
      <c r="F8" s="55" t="s">
        <v>81</v>
      </c>
    </row>
    <row r="9" spans="1:6" ht="28.8" x14ac:dyDescent="0.3">
      <c r="A9" s="33" t="s">
        <v>25</v>
      </c>
      <c r="B9" s="62" t="s">
        <v>141</v>
      </c>
      <c r="C9" s="10" t="s">
        <v>178</v>
      </c>
      <c r="D9" s="52" t="s">
        <v>136</v>
      </c>
      <c r="E9" s="11">
        <v>1</v>
      </c>
      <c r="F9" s="55" t="s">
        <v>22</v>
      </c>
    </row>
    <row r="10" spans="1:6" ht="28.8" x14ac:dyDescent="0.3">
      <c r="A10" s="33" t="s">
        <v>209</v>
      </c>
      <c r="B10" s="62" t="s">
        <v>141</v>
      </c>
      <c r="C10" s="10" t="s">
        <v>179</v>
      </c>
      <c r="D10" s="52" t="s">
        <v>137</v>
      </c>
      <c r="E10" s="11">
        <v>1</v>
      </c>
      <c r="F10" s="55" t="s">
        <v>22</v>
      </c>
    </row>
    <row r="11" spans="1:6" ht="28.8" x14ac:dyDescent="0.3">
      <c r="A11" s="33"/>
      <c r="B11" s="62" t="s">
        <v>141</v>
      </c>
      <c r="C11" s="10" t="s">
        <v>180</v>
      </c>
      <c r="D11" s="52" t="s">
        <v>138</v>
      </c>
      <c r="E11" s="11">
        <v>0</v>
      </c>
      <c r="F11" s="55" t="s">
        <v>22</v>
      </c>
    </row>
    <row r="12" spans="1:6" x14ac:dyDescent="0.3">
      <c r="A12" s="33" t="s">
        <v>210</v>
      </c>
      <c r="B12" s="62" t="s">
        <v>141</v>
      </c>
      <c r="C12" s="10" t="s">
        <v>181</v>
      </c>
      <c r="D12" s="52" t="s">
        <v>27</v>
      </c>
      <c r="E12" s="11">
        <v>1050</v>
      </c>
      <c r="F12" s="55" t="s">
        <v>28</v>
      </c>
    </row>
    <row r="13" spans="1:6" x14ac:dyDescent="0.3">
      <c r="A13" s="33" t="s">
        <v>211</v>
      </c>
      <c r="B13" s="62" t="s">
        <v>141</v>
      </c>
      <c r="C13" s="10" t="s">
        <v>182</v>
      </c>
      <c r="D13" s="52" t="s">
        <v>139</v>
      </c>
      <c r="E13" s="38" t="s">
        <v>230</v>
      </c>
      <c r="F13" s="55" t="s">
        <v>22</v>
      </c>
    </row>
    <row r="14" spans="1:6" ht="15" thickBot="1" x14ac:dyDescent="0.35">
      <c r="A14" s="34" t="s">
        <v>212</v>
      </c>
      <c r="B14" s="63" t="s">
        <v>141</v>
      </c>
      <c r="C14" s="14" t="s">
        <v>183</v>
      </c>
      <c r="D14" s="53" t="s">
        <v>140</v>
      </c>
      <c r="E14" s="24" t="s">
        <v>146</v>
      </c>
      <c r="F14" s="56" t="s">
        <v>22</v>
      </c>
    </row>
    <row r="15" spans="1:6" ht="28.8" x14ac:dyDescent="0.3">
      <c r="A15" s="32" t="s">
        <v>213</v>
      </c>
      <c r="B15" s="61" t="s">
        <v>165</v>
      </c>
      <c r="C15" s="17" t="s">
        <v>184</v>
      </c>
      <c r="D15" s="54" t="s">
        <v>34</v>
      </c>
      <c r="E15" s="18" t="s">
        <v>247</v>
      </c>
      <c r="F15" s="57" t="s">
        <v>22</v>
      </c>
    </row>
    <row r="16" spans="1:6" x14ac:dyDescent="0.3">
      <c r="A16" s="33" t="s">
        <v>214</v>
      </c>
      <c r="B16" s="62" t="s">
        <v>165</v>
      </c>
      <c r="C16" s="10" t="s">
        <v>185</v>
      </c>
      <c r="D16" s="52" t="s">
        <v>159</v>
      </c>
      <c r="E16" s="11">
        <v>20000</v>
      </c>
      <c r="F16" s="55" t="s">
        <v>28</v>
      </c>
    </row>
    <row r="17" spans="1:6" x14ac:dyDescent="0.3">
      <c r="A17" s="33" t="s">
        <v>215</v>
      </c>
      <c r="B17" s="62" t="s">
        <v>165</v>
      </c>
      <c r="C17" s="10" t="s">
        <v>186</v>
      </c>
      <c r="D17" s="52" t="s">
        <v>160</v>
      </c>
      <c r="E17" s="11">
        <v>0</v>
      </c>
      <c r="F17" s="55" t="s">
        <v>5</v>
      </c>
    </row>
    <row r="18" spans="1:6" x14ac:dyDescent="0.3">
      <c r="A18" s="33" t="s">
        <v>216</v>
      </c>
      <c r="B18" s="62" t="s">
        <v>165</v>
      </c>
      <c r="C18" s="10" t="s">
        <v>187</v>
      </c>
      <c r="D18" s="52" t="s">
        <v>161</v>
      </c>
      <c r="E18" s="11">
        <v>100</v>
      </c>
      <c r="F18" s="55" t="s">
        <v>5</v>
      </c>
    </row>
    <row r="19" spans="1:6" x14ac:dyDescent="0.3">
      <c r="A19" s="33" t="s">
        <v>217</v>
      </c>
      <c r="B19" s="62" t="s">
        <v>165</v>
      </c>
      <c r="C19" s="10" t="s">
        <v>188</v>
      </c>
      <c r="D19" s="52" t="s">
        <v>162</v>
      </c>
      <c r="E19" s="11">
        <v>1</v>
      </c>
      <c r="F19" s="55" t="s">
        <v>22</v>
      </c>
    </row>
    <row r="20" spans="1:6" x14ac:dyDescent="0.3">
      <c r="A20" s="33" t="s">
        <v>218</v>
      </c>
      <c r="B20" s="62" t="s">
        <v>165</v>
      </c>
      <c r="C20" s="10" t="s">
        <v>189</v>
      </c>
      <c r="D20" s="52" t="s">
        <v>163</v>
      </c>
      <c r="E20" s="11">
        <v>0.1</v>
      </c>
      <c r="F20" s="55" t="s">
        <v>22</v>
      </c>
    </row>
    <row r="21" spans="1:6" ht="15" thickBot="1" x14ac:dyDescent="0.35">
      <c r="A21" s="34" t="s">
        <v>219</v>
      </c>
      <c r="B21" s="63" t="s">
        <v>165</v>
      </c>
      <c r="C21" s="14" t="s">
        <v>190</v>
      </c>
      <c r="D21" s="53" t="s">
        <v>164</v>
      </c>
      <c r="E21" s="24">
        <v>1</v>
      </c>
      <c r="F21" s="56" t="s">
        <v>30</v>
      </c>
    </row>
    <row r="22" spans="1:6" ht="43.2" x14ac:dyDescent="0.3">
      <c r="A22" s="32" t="s">
        <v>220</v>
      </c>
      <c r="B22" s="61" t="s">
        <v>166</v>
      </c>
      <c r="C22" s="17" t="s">
        <v>191</v>
      </c>
      <c r="D22" s="54" t="s">
        <v>147</v>
      </c>
      <c r="E22" s="18" t="s">
        <v>168</v>
      </c>
      <c r="F22" s="57" t="s">
        <v>22</v>
      </c>
    </row>
    <row r="23" spans="1:6" x14ac:dyDescent="0.3">
      <c r="A23" s="33" t="s">
        <v>221</v>
      </c>
      <c r="B23" s="62" t="s">
        <v>166</v>
      </c>
      <c r="C23" s="10" t="s">
        <v>192</v>
      </c>
      <c r="D23" s="52" t="s">
        <v>148</v>
      </c>
      <c r="E23" s="11" t="s">
        <v>169</v>
      </c>
      <c r="F23" s="55" t="s">
        <v>22</v>
      </c>
    </row>
    <row r="24" spans="1:6" ht="43.2" x14ac:dyDescent="0.3">
      <c r="A24" s="33" t="s">
        <v>222</v>
      </c>
      <c r="B24" s="62" t="s">
        <v>166</v>
      </c>
      <c r="C24" s="10" t="s">
        <v>193</v>
      </c>
      <c r="D24" s="52" t="s">
        <v>149</v>
      </c>
      <c r="E24" s="11" t="s">
        <v>170</v>
      </c>
      <c r="F24" s="55" t="s">
        <v>22</v>
      </c>
    </row>
    <row r="25" spans="1:6" ht="43.2" x14ac:dyDescent="0.3">
      <c r="A25" s="33" t="s">
        <v>224</v>
      </c>
      <c r="B25" s="62" t="s">
        <v>166</v>
      </c>
      <c r="C25" s="10" t="s">
        <v>194</v>
      </c>
      <c r="D25" s="52" t="s">
        <v>150</v>
      </c>
      <c r="E25" s="11">
        <v>0</v>
      </c>
      <c r="F25" s="55" t="s">
        <v>22</v>
      </c>
    </row>
    <row r="26" spans="1:6" x14ac:dyDescent="0.3">
      <c r="A26" s="33" t="s">
        <v>225</v>
      </c>
      <c r="B26" s="62" t="s">
        <v>166</v>
      </c>
      <c r="C26" s="10" t="s">
        <v>195</v>
      </c>
      <c r="D26" s="52" t="s">
        <v>151</v>
      </c>
      <c r="E26" s="11">
        <v>1</v>
      </c>
      <c r="F26" s="55" t="s">
        <v>22</v>
      </c>
    </row>
    <row r="27" spans="1:6" x14ac:dyDescent="0.3">
      <c r="A27" s="33" t="s">
        <v>226</v>
      </c>
      <c r="B27" s="62" t="s">
        <v>166</v>
      </c>
      <c r="C27" s="10" t="s">
        <v>196</v>
      </c>
      <c r="D27" s="52" t="s">
        <v>152</v>
      </c>
      <c r="E27" s="11">
        <v>1</v>
      </c>
      <c r="F27" s="55" t="s">
        <v>22</v>
      </c>
    </row>
    <row r="28" spans="1:6" ht="43.2" x14ac:dyDescent="0.3">
      <c r="A28" s="33" t="s">
        <v>249</v>
      </c>
      <c r="B28" s="62" t="s">
        <v>166</v>
      </c>
      <c r="C28" s="10" t="s">
        <v>191</v>
      </c>
      <c r="D28" s="52" t="s">
        <v>250</v>
      </c>
      <c r="E28" s="18" t="s">
        <v>171</v>
      </c>
      <c r="F28" s="57" t="s">
        <v>22</v>
      </c>
    </row>
    <row r="29" spans="1:6" ht="43.2" x14ac:dyDescent="0.3">
      <c r="A29" s="33" t="s">
        <v>227</v>
      </c>
      <c r="B29" s="62" t="s">
        <v>166</v>
      </c>
      <c r="C29" s="10" t="s">
        <v>191</v>
      </c>
      <c r="D29" s="52" t="s">
        <v>153</v>
      </c>
      <c r="E29" s="11" t="s">
        <v>171</v>
      </c>
      <c r="F29" s="55" t="s">
        <v>22</v>
      </c>
    </row>
    <row r="30" spans="1:6" x14ac:dyDescent="0.3">
      <c r="A30" s="33" t="s">
        <v>223</v>
      </c>
      <c r="B30" s="62" t="s">
        <v>166</v>
      </c>
      <c r="C30" s="10" t="s">
        <v>197</v>
      </c>
      <c r="D30" s="52" t="s">
        <v>154</v>
      </c>
      <c r="E30" s="11" t="s">
        <v>97</v>
      </c>
      <c r="F30" s="55" t="s">
        <v>22</v>
      </c>
    </row>
    <row r="31" spans="1:6" x14ac:dyDescent="0.3">
      <c r="A31" s="33" t="s">
        <v>228</v>
      </c>
      <c r="B31" s="62" t="s">
        <v>166</v>
      </c>
      <c r="C31" s="10" t="s">
        <v>198</v>
      </c>
      <c r="D31" s="52" t="s">
        <v>155</v>
      </c>
      <c r="E31" s="11">
        <v>1</v>
      </c>
      <c r="F31" s="55" t="s">
        <v>22</v>
      </c>
    </row>
    <row r="32" spans="1:6" ht="15" thickBot="1" x14ac:dyDescent="0.35">
      <c r="A32" s="34" t="s">
        <v>229</v>
      </c>
      <c r="B32" s="63" t="s">
        <v>166</v>
      </c>
      <c r="C32" s="14" t="s">
        <v>199</v>
      </c>
      <c r="D32" s="53" t="s">
        <v>156</v>
      </c>
      <c r="E32" s="24">
        <v>1</v>
      </c>
      <c r="F32" s="56" t="s">
        <v>22</v>
      </c>
    </row>
    <row r="33" spans="1:6" ht="28.8" x14ac:dyDescent="0.3">
      <c r="A33" s="32" t="s">
        <v>157</v>
      </c>
      <c r="B33" s="61" t="s">
        <v>167</v>
      </c>
      <c r="C33" s="17" t="s">
        <v>200</v>
      </c>
      <c r="D33" s="54" t="s">
        <v>157</v>
      </c>
      <c r="E33" s="18">
        <v>1</v>
      </c>
      <c r="F33" s="57" t="s">
        <v>22</v>
      </c>
    </row>
    <row r="34" spans="1:6" ht="43.8" thickBot="1" x14ac:dyDescent="0.35">
      <c r="A34" s="34" t="s">
        <v>48</v>
      </c>
      <c r="B34" s="63" t="s">
        <v>167</v>
      </c>
      <c r="C34" s="14" t="s">
        <v>201</v>
      </c>
      <c r="D34" s="53" t="s">
        <v>158</v>
      </c>
      <c r="E34" s="24">
        <v>2</v>
      </c>
      <c r="F34" s="56" t="s">
        <v>22</v>
      </c>
    </row>
  </sheetData>
  <dataValidations count="13">
    <dataValidation type="list" allowBlank="1" showInputMessage="1" showErrorMessage="1" sqref="E2" xr:uid="{C4E97F42-90A4-439F-B50C-11CF79F6F56D}">
      <formula1>"FF, CB, SV, OPP, OSM"</formula1>
    </dataValidation>
    <dataValidation type="list" allowBlank="1" showInputMessage="1" showErrorMessage="1" sqref="E3" xr:uid="{59C00FD6-B4B9-40ED-B5DF-7556515D16B9}">
      <formula1>"SE, DE"</formula1>
    </dataValidation>
    <dataValidation type="list" allowBlank="1" showInputMessage="1" showErrorMessage="1" sqref="E4" xr:uid="{8AAB3881-BB57-4864-8DD8-F9BDBB8E078C}">
      <formula1>"NS, RS"</formula1>
    </dataValidation>
    <dataValidation type="list" allowBlank="1" showInputMessage="1" showErrorMessage="1" sqref="E5" xr:uid="{9D931B16-8DBB-4320-9C50-FA16D061031E}">
      <formula1>"RE, FE, SM, AM"</formula1>
    </dataValidation>
    <dataValidation type="list" allowBlank="1" showInputMessage="1" showErrorMessage="1" sqref="E6 E9:E11 E25 E33" xr:uid="{7BE6246F-D0E4-4835-A57D-61D617CCED04}">
      <formula1>"0, 1"</formula1>
    </dataValidation>
    <dataValidation type="list" allowBlank="1" showInputMessage="1" showErrorMessage="1" sqref="E13" xr:uid="{7673DE90-8C38-46FF-9FB4-B656D095FE62}">
      <formula1>"0127, 0121, 7212, 1012, 2721"</formula1>
    </dataValidation>
    <dataValidation type="list" allowBlank="1" showInputMessage="1" showErrorMessage="1" sqref="E14" xr:uid="{8E6776BF-DF9D-4591-8656-821969B6812B}">
      <formula1>"SPWM, SVPWM, THIPWM4, THIPWM6, DPWM0, DPWM1, DPWM2, DPWM3, DPWMMIN, DPWMMAX"</formula1>
    </dataValidation>
    <dataValidation type="list" allowBlank="1" showInputMessage="1" showErrorMessage="1" sqref="E15" xr:uid="{90D98357-ACED-4653-AB7B-A3CEC801E876}">
      <formula1>"PI, HY"</formula1>
    </dataValidation>
    <dataValidation type="list" allowBlank="1" showInputMessage="1" showErrorMessage="1" sqref="E22 E28:E29" xr:uid="{DE992E13-D1C1-46ED-BEA8-BE094B6B7715}">
      <formula1>"con, pwl, tab"</formula1>
    </dataValidation>
    <dataValidation type="list" allowBlank="1" showInputMessage="1" showErrorMessage="1" sqref="E23" xr:uid="{A70C38F5-821B-4F3A-BDB2-CC8CF690BF2C}">
      <formula1>"IGBT, MOSFET"</formula1>
    </dataValidation>
    <dataValidation type="list" allowBlank="1" showInputMessage="1" showErrorMessage="1" sqref="E24" xr:uid="{7C364B69-56D0-48CC-AD38-5F95308F6901}">
      <formula1>"D, DT"</formula1>
    </dataValidation>
    <dataValidation type="list" allowBlank="1" showInputMessage="1" showErrorMessage="1" sqref="E30" xr:uid="{929AF257-5302-40CF-95CE-90A8E96F7A27}">
      <formula1>"Elco, MLCC, Film"</formula1>
    </dataValidation>
    <dataValidation type="list" allowBlank="1" showInputMessage="1" showErrorMessage="1" sqref="E34" xr:uid="{FCEC61A7-870F-4FD7-9209-49AF3D7561F8}">
      <formula1>"0, 1, 2"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Exp</vt:lpstr>
      <vt:lpstr>Dat</vt:lpstr>
      <vt:lpstr>Top</vt:lpstr>
      <vt:lpstr>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Schirmer</dc:creator>
  <cp:lastModifiedBy>Pascal Schirmer</cp:lastModifiedBy>
  <dcterms:created xsi:type="dcterms:W3CDTF">2022-10-27T16:38:41Z</dcterms:created>
  <dcterms:modified xsi:type="dcterms:W3CDTF">2026-02-15T13:51:22Z</dcterms:modified>
</cp:coreProperties>
</file>